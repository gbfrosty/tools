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_stats" sheetId="1" state="visible" r:id="rId2"/>
  </sheets>
  <definedNames>
    <definedName function="false" hidden="true" localSheetId="0" name="_xlnm._FilterDatabase" vbProcedure="false">battle_stats!$A$1:$R$61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<sst xmlns="http://schemas.openxmlformats.org/spreadsheetml/2006/main" count="444" uniqueCount="109">
  <si>
    <t xml:space="preserve">Date</t>
  </si>
  <si>
    <t xml:space="preserve">Player</t>
  </si>
  <si>
    <t xml:space="preserve">Side</t>
  </si>
  <si>
    <t xml:space="preserve">Troop_Type</t>
  </si>
  <si>
    <t xml:space="preserve">Hero</t>
  </si>
  <si>
    <t xml:space="preserve">Stars</t>
  </si>
  <si>
    <t xml:space="preserve">Widget</t>
  </si>
  <si>
    <t xml:space="preserve">Camp</t>
  </si>
  <si>
    <t xml:space="preserve">Tier</t>
  </si>
  <si>
    <t xml:space="preserve">March_Size</t>
  </si>
  <si>
    <t xml:space="preserve">Formation</t>
  </si>
  <si>
    <t xml:space="preserve">Troops</t>
  </si>
  <si>
    <t xml:space="preserve">Atk</t>
  </si>
  <si>
    <t xml:space="preserve">Def</t>
  </si>
  <si>
    <t xml:space="preserve">Leth</t>
  </si>
  <si>
    <t xml:space="preserve">Hp</t>
  </si>
  <si>
    <t xml:space="preserve">Win %</t>
  </si>
  <si>
    <t xml:space="preserve">URL</t>
  </si>
  <si>
    <t xml:space="preserve">Atk / Def</t>
  </si>
  <si>
    <t xml:space="preserve">Gen</t>
  </si>
  <si>
    <t xml:space="preserve">Widget Leth / Hp</t>
  </si>
  <si>
    <t xml:space="preserve">Player 1 Heroes</t>
  </si>
  <si>
    <t xml:space="preserve">Player 2 Heroes</t>
  </si>
  <si>
    <t xml:space="preserve">AlphaAtk</t>
  </si>
  <si>
    <t xml:space="preserve">Attacker</t>
  </si>
  <si>
    <t xml:space="preserve">Infantry</t>
  </si>
  <si>
    <t xml:space="preserve">Hector</t>
  </si>
  <si>
    <t xml:space="preserve">FC8</t>
  </si>
  <si>
    <t xml:space="preserve">T10</t>
  </si>
  <si>
    <t xml:space="preserve">WuMing 5*</t>
  </si>
  <si>
    <t xml:space="preserve">Gen 11</t>
  </si>
  <si>
    <t xml:space="preserve">WuMing Renee Wayne</t>
  </si>
  <si>
    <t xml:space="preserve">https://wos-sim.ratme.org/simualate-wosui?mode=battle&amp;run=ce98a403-9883-41ce-98d0-890572fc5bce</t>
  </si>
  <si>
    <t xml:space="preserve">Lancer</t>
  </si>
  <si>
    <t xml:space="preserve">Mia</t>
  </si>
  <si>
    <t xml:space="preserve">WuMing 4*</t>
  </si>
  <si>
    <t xml:space="preserve">Gen 10</t>
  </si>
  <si>
    <t xml:space="preserve">WuMing Norah Wayne</t>
  </si>
  <si>
    <t xml:space="preserve">https://wos-sim.ratme.org/simualate-wosui?mode=battle&amp;run=b27b5c9c-d6e4-44e5-8fdb-5fb914a752e6</t>
  </si>
  <si>
    <t xml:space="preserve">Marksman</t>
  </si>
  <si>
    <t xml:space="preserve">Gwen</t>
  </si>
  <si>
    <t xml:space="preserve">T11</t>
  </si>
  <si>
    <t xml:space="preserve">Hector 5*</t>
  </si>
  <si>
    <t xml:space="preserve">Gen 9</t>
  </si>
  <si>
    <t xml:space="preserve">WuMing Mia Wayne</t>
  </si>
  <si>
    <t xml:space="preserve">https://wos-sim.ratme.org/simualate-wosui?mode=battle&amp;run=0b8f3819-f3b1-44e8-ad28-be965887943e</t>
  </si>
  <si>
    <t xml:space="preserve">AlphaDef</t>
  </si>
  <si>
    <t xml:space="preserve">Jero 5*</t>
  </si>
  <si>
    <t xml:space="preserve">Gen 8</t>
  </si>
  <si>
    <t xml:space="preserve">WuMing Molly Wayne</t>
  </si>
  <si>
    <t xml:space="preserve">https://wos-sim.ratme.org/simualate-wosui?mode=battle&amp;run=2a128964-360d-40bf-b268-5eeb3f79aa42</t>
  </si>
  <si>
    <t xml:space="preserve">Molly</t>
  </si>
  <si>
    <t xml:space="preserve">Jero 4*</t>
  </si>
  <si>
    <t xml:space="preserve">Gen 7</t>
  </si>
  <si>
    <t xml:space="preserve">Hector Renee Wayne</t>
  </si>
  <si>
    <t xml:space="preserve">https://wos-sim.ratme.org/simualate-wosui?mode=battle&amp;run=60020bb5-cf9f-42ca-b6e1-9922dce6ade8</t>
  </si>
  <si>
    <t xml:space="preserve">Flint 5*</t>
  </si>
  <si>
    <t xml:space="preserve">Gen 6</t>
  </si>
  <si>
    <t xml:space="preserve">Hector Renee Gwen</t>
  </si>
  <si>
    <t xml:space="preserve">https://wos-sim.ratme.org/simualate-wosui?mode=battle&amp;run=fe94a4ac-78fe-4644-9005-f631aedb83d3</t>
  </si>
  <si>
    <t xml:space="preserve">FrostyBest</t>
  </si>
  <si>
    <t xml:space="preserve">Renee 5*</t>
  </si>
  <si>
    <t xml:space="preserve">Gen 5</t>
  </si>
  <si>
    <t xml:space="preserve">Hector Mia Gwen</t>
  </si>
  <si>
    <t xml:space="preserve">Renee 4*</t>
  </si>
  <si>
    <t xml:space="preserve">Gen 4</t>
  </si>
  <si>
    <t xml:space="preserve">Mia 5*</t>
  </si>
  <si>
    <t xml:space="preserve">Gen 3</t>
  </si>
  <si>
    <t xml:space="preserve">Frosty2nd</t>
  </si>
  <si>
    <t xml:space="preserve">Jeronimo</t>
  </si>
  <si>
    <t xml:space="preserve">Mia 4*</t>
  </si>
  <si>
    <t xml:space="preserve">Gen 2</t>
  </si>
  <si>
    <t xml:space="preserve">Norah</t>
  </si>
  <si>
    <t xml:space="preserve">Norah 5*</t>
  </si>
  <si>
    <t xml:space="preserve">Gen 1</t>
  </si>
  <si>
    <t xml:space="preserve">Lynn</t>
  </si>
  <si>
    <t xml:space="preserve">Norah 4*</t>
  </si>
  <si>
    <t xml:space="preserve">JaxsonRenee</t>
  </si>
  <si>
    <t xml:space="preserve">WuMing</t>
  </si>
  <si>
    <t xml:space="preserve">Reina 5*</t>
  </si>
  <si>
    <t xml:space="preserve">Renee</t>
  </si>
  <si>
    <t xml:space="preserve">Wayne 5*</t>
  </si>
  <si>
    <t xml:space="preserve">Wayne</t>
  </si>
  <si>
    <t xml:space="preserve">Gwen 5*</t>
  </si>
  <si>
    <t xml:space="preserve">Bora</t>
  </si>
  <si>
    <t xml:space="preserve">Lynn 5*</t>
  </si>
  <si>
    <t xml:space="preserve">JaxsonMia</t>
  </si>
  <si>
    <t xml:space="preserve">https://wos-sim.ratme.org/simualate-wosui?mode=battle&amp;run=09e05032-c5ec-4b8b-b1dc-3df89d0196d7</t>
  </si>
  <si>
    <t xml:space="preserve">AusieRenee</t>
  </si>
  <si>
    <t xml:space="preserve">https://wos-sim.ratme.org/simualate-wosui?mode=battle&amp;run=40e5352f-f8cf-444b-a1f3-297c446efd0d</t>
  </si>
  <si>
    <t xml:space="preserve">AusieRenee2</t>
  </si>
  <si>
    <t xml:space="preserve">AusieMia</t>
  </si>
  <si>
    <t xml:space="preserve">https://wos-sim.ratme.org/simualate-wosui?mode=battle&amp;run=ba7e252d-448d-4cb5-9471-47cdea80bb05</t>
  </si>
  <si>
    <t xml:space="preserve">AusieMia2</t>
  </si>
  <si>
    <t xml:space="preserve">https://wos-sim.ratme.org/simualate-wosui?mode=battle&amp;run=7a31ff14-2ad8-4c98-aa6c-62a852312935</t>
  </si>
  <si>
    <t xml:space="preserve">AusieNorah</t>
  </si>
  <si>
    <t xml:space="preserve">https://wos-sim.ratme.org/simualate-wosui?mode=battle&amp;run=b9f056c3-68b0-46e8-a41a-b8fc1bfdc05b</t>
  </si>
  <si>
    <t xml:space="preserve">AusieNorah2</t>
  </si>
  <si>
    <t xml:space="preserve">https://wos-sim.ratme.org/simualate-wosui?mode=battle&amp;run=40ce1f25-66b4-4c20-86e5-7866b24ad2ec</t>
  </si>
  <si>
    <t xml:space="preserve">AusieNorah3</t>
  </si>
  <si>
    <t xml:space="preserve">AusieNorah4</t>
  </si>
  <si>
    <t xml:space="preserve">https://wos-sim.ratme.org/simualate-wosui?mode=battle&amp;run=c3ffd100-f37e-4862-9380-d12459c359ed</t>
  </si>
  <si>
    <t xml:space="preserve">AusieNorah5</t>
  </si>
  <si>
    <t xml:space="preserve">https://wos-sim.ratme.org/simualate-wosui?mode=battle&amp;run=80e8983c-70b4-42ef-b5e7-81f80f8bf0a7</t>
  </si>
  <si>
    <t xml:space="preserve">AusieNorah6</t>
  </si>
  <si>
    <t xml:space="preserve">https://wos-sim.ratme.org/simualate-wosui?mode=battle&amp;run=c385c1f4-fc82-4f54-b189-6c91421f16ae</t>
  </si>
  <si>
    <t xml:space="preserve">AusieNorah7</t>
  </si>
  <si>
    <t xml:space="preserve">https://wos-sim.ratme.org/simualate-wosui?mode=battle&amp;run=80293b9b-e0cd-48cb-86e8-e181a569be08</t>
  </si>
  <si>
    <t xml:space="preserve">AusieNorah8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</si>
</sst>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61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B8" activeCellId="0" sqref="AB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6.67"/>
    <col collapsed="false" customWidth="true" hidden="false" outlineLevel="0" max="3" min="3" style="0" width="8.38"/>
    <col collapsed="false" customWidth="true" hidden="false" outlineLevel="0" max="4" min="4" style="0" width="10.88"/>
    <col collapsed="false" customWidth="true" hidden="false" outlineLevel="0" max="5" min="5" style="0" width="11.66"/>
    <col collapsed="false" customWidth="true" hidden="false" outlineLevel="0" max="8" min="6" style="0" width="6.29"/>
    <col collapsed="false" customWidth="true" hidden="false" outlineLevel="0" max="9" min="9" style="0" width="4.48"/>
    <col collapsed="false" customWidth="true" hidden="false" outlineLevel="0" max="10" min="10" style="0" width="11.16"/>
    <col collapsed="false" customWidth="true" hidden="false" outlineLevel="0" max="11" min="11" style="0" width="9.63"/>
    <col collapsed="false" customWidth="true" hidden="false" outlineLevel="0" max="12" min="12" style="0" width="6.98"/>
    <col collapsed="false" customWidth="true" hidden="false" outlineLevel="0" max="16" min="13" style="0" width="7.49"/>
    <col collapsed="false" customWidth="true" hidden="false" outlineLevel="0" max="17" min="17" style="0" width="7.68"/>
    <col collapsed="false" customWidth="true" hidden="false" outlineLevel="0" max="21" min="21" style="0" width="7.41"/>
    <col collapsed="false" customWidth="true" hidden="false" outlineLevel="0" max="22" min="22" style="0" width="15.05"/>
    <col collapsed="false" customWidth="true" hidden="false" outlineLevel="0" max="27" min="26" style="0" width="19.49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T1" s="2" t="s">
        <v>4</v>
      </c>
      <c r="U1" s="2" t="s">
        <v>18</v>
      </c>
      <c r="W1" s="2" t="s">
        <v>19</v>
      </c>
      <c r="X1" s="2" t="s">
        <v>20</v>
      </c>
      <c r="Z1" s="0" t="s">
        <v>21</v>
      </c>
      <c r="AA1" s="0" t="s">
        <v>22</v>
      </c>
      <c r="AB1" s="0" t="s">
        <v>17</v>
      </c>
    </row>
    <row r="2" customFormat="false" ht="12.8" hidden="false" customHeight="false" outlineLevel="0" collapsed="false">
      <c r="A2" s="3" t="n">
        <v>46310</v>
      </c>
      <c r="B2" s="2" t="s">
        <v>23</v>
      </c>
      <c r="C2" s="0" t="s">
        <v>24</v>
      </c>
      <c r="D2" s="0" t="s">
        <v>25</v>
      </c>
      <c r="E2" s="0" t="s">
        <v>26</v>
      </c>
      <c r="F2" s="0" t="n">
        <v>5</v>
      </c>
      <c r="G2" s="0" t="n">
        <v>3</v>
      </c>
      <c r="H2" s="0" t="s">
        <v>27</v>
      </c>
      <c r="I2" s="2" t="s">
        <v>28</v>
      </c>
      <c r="J2" s="2" t="n">
        <v>180000</v>
      </c>
      <c r="K2" s="0" t="n">
        <v>55</v>
      </c>
      <c r="L2" s="0" t="n">
        <f aca="false">J2*K2/100</f>
        <v>99000</v>
      </c>
      <c r="M2" s="0" t="n">
        <v>1170.6</v>
      </c>
      <c r="N2" s="0" t="n">
        <v>1074.3</v>
      </c>
      <c r="O2" s="0" t="n">
        <v>816.1</v>
      </c>
      <c r="P2" s="0" t="n">
        <v>947.9</v>
      </c>
      <c r="T2" s="2" t="s">
        <v>29</v>
      </c>
      <c r="U2" s="2" t="n">
        <v>540.43</v>
      </c>
      <c r="W2" s="2" t="s">
        <v>30</v>
      </c>
      <c r="X2" s="2" t="n">
        <v>32</v>
      </c>
      <c r="Z2" s="0" t="s">
        <v>31</v>
      </c>
      <c r="AA2" s="2" t="s">
        <v>31</v>
      </c>
      <c r="AB2" s="2" t="s">
        <v>32</v>
      </c>
    </row>
    <row r="3" customFormat="false" ht="12.8" hidden="false" customHeight="false" outlineLevel="0" collapsed="false">
      <c r="A3" s="3" t="n">
        <v>46310</v>
      </c>
      <c r="B3" s="2" t="s">
        <v>23</v>
      </c>
      <c r="C3" s="0" t="s">
        <v>24</v>
      </c>
      <c r="D3" s="0" t="s">
        <v>33</v>
      </c>
      <c r="E3" s="0" t="s">
        <v>34</v>
      </c>
      <c r="F3" s="0" t="n">
        <v>5</v>
      </c>
      <c r="G3" s="0" t="n">
        <v>4</v>
      </c>
      <c r="H3" s="2" t="s">
        <v>27</v>
      </c>
      <c r="I3" s="2" t="s">
        <v>28</v>
      </c>
      <c r="J3" s="2" t="n">
        <v>180000</v>
      </c>
      <c r="K3" s="2" t="n">
        <v>15</v>
      </c>
      <c r="L3" s="2" t="n">
        <f aca="false">J3*K3/100</f>
        <v>27000</v>
      </c>
      <c r="M3" s="2" t="n">
        <v>875.8</v>
      </c>
      <c r="N3" s="2" t="n">
        <v>792.6</v>
      </c>
      <c r="O3" s="2" t="n">
        <v>782.8</v>
      </c>
      <c r="P3" s="2" t="n">
        <v>652</v>
      </c>
      <c r="T3" s="2" t="s">
        <v>35</v>
      </c>
      <c r="U3" s="2" t="n">
        <v>375.3</v>
      </c>
      <c r="W3" s="2" t="s">
        <v>36</v>
      </c>
      <c r="X3" s="2" t="n">
        <v>27.75</v>
      </c>
      <c r="Z3" s="2" t="s">
        <v>31</v>
      </c>
      <c r="AA3" s="2" t="s">
        <v>37</v>
      </c>
      <c r="AB3" s="2" t="s">
        <v>38</v>
      </c>
    </row>
    <row r="4" customFormat="false" ht="12.8" hidden="false" customHeight="false" outlineLevel="0" collapsed="false">
      <c r="A4" s="3" t="n">
        <v>46310</v>
      </c>
      <c r="B4" s="2" t="s">
        <v>23</v>
      </c>
      <c r="C4" s="2" t="s">
        <v>24</v>
      </c>
      <c r="D4" s="2" t="s">
        <v>39</v>
      </c>
      <c r="E4" s="2" t="s">
        <v>40</v>
      </c>
      <c r="F4" s="2" t="n">
        <v>5</v>
      </c>
      <c r="G4" s="2" t="n">
        <v>4</v>
      </c>
      <c r="H4" s="2" t="s">
        <v>27</v>
      </c>
      <c r="I4" s="2" t="s">
        <v>41</v>
      </c>
      <c r="J4" s="2" t="n">
        <v>180000</v>
      </c>
      <c r="K4" s="2" t="n">
        <v>30</v>
      </c>
      <c r="L4" s="2" t="n">
        <f aca="false">J4*K4/100</f>
        <v>54000</v>
      </c>
      <c r="M4" s="2" t="n">
        <v>1188.1</v>
      </c>
      <c r="N4" s="2" t="n">
        <v>1027.7</v>
      </c>
      <c r="O4" s="2" t="n">
        <v>1004.1</v>
      </c>
      <c r="P4" s="2" t="n">
        <v>820.5</v>
      </c>
      <c r="T4" s="2" t="s">
        <v>42</v>
      </c>
      <c r="U4" s="2" t="n">
        <v>444.35</v>
      </c>
      <c r="W4" s="2" t="s">
        <v>43</v>
      </c>
      <c r="X4" s="2" t="n">
        <v>23.2</v>
      </c>
      <c r="Z4" s="2" t="s">
        <v>31</v>
      </c>
      <c r="AA4" s="2" t="s">
        <v>44</v>
      </c>
      <c r="AB4" s="0" t="s">
        <v>45</v>
      </c>
    </row>
    <row r="5" customFormat="false" ht="12.8" hidden="false" customHeight="false" outlineLevel="0" collapsed="false">
      <c r="A5" s="3" t="n">
        <v>46310</v>
      </c>
      <c r="B5" s="0" t="s">
        <v>46</v>
      </c>
      <c r="C5" s="0" t="s">
        <v>24</v>
      </c>
      <c r="D5" s="0" t="s">
        <v>25</v>
      </c>
      <c r="E5" s="0" t="s">
        <v>26</v>
      </c>
      <c r="F5" s="0" t="n">
        <v>5</v>
      </c>
      <c r="G5" s="0" t="n">
        <v>3</v>
      </c>
      <c r="H5" s="0" t="s">
        <v>27</v>
      </c>
      <c r="I5" s="2" t="s">
        <v>41</v>
      </c>
      <c r="J5" s="2" t="n">
        <v>180000</v>
      </c>
      <c r="K5" s="0" t="n">
        <v>50</v>
      </c>
      <c r="L5" s="0" t="n">
        <f aca="false">J5*K5/100</f>
        <v>90000</v>
      </c>
      <c r="M5" s="0" t="n">
        <v>1170.6</v>
      </c>
      <c r="N5" s="0" t="n">
        <v>1074.3</v>
      </c>
      <c r="O5" s="0" t="n">
        <v>816.1</v>
      </c>
      <c r="P5" s="0" t="n">
        <v>947.9</v>
      </c>
      <c r="T5" s="2" t="s">
        <v>47</v>
      </c>
      <c r="U5" s="2" t="n">
        <v>260.2</v>
      </c>
      <c r="W5" s="2" t="s">
        <v>48</v>
      </c>
      <c r="X5" s="2" t="n">
        <v>19.3</v>
      </c>
      <c r="Z5" s="2" t="s">
        <v>31</v>
      </c>
      <c r="AA5" s="2" t="s">
        <v>49</v>
      </c>
      <c r="AB5" s="2" t="s">
        <v>50</v>
      </c>
      <c r="AC5" s="2"/>
    </row>
    <row r="6" customFormat="false" ht="12.8" hidden="false" customHeight="false" outlineLevel="0" collapsed="false">
      <c r="A6" s="3" t="n">
        <v>46310</v>
      </c>
      <c r="B6" s="2" t="s">
        <v>46</v>
      </c>
      <c r="C6" s="0" t="s">
        <v>24</v>
      </c>
      <c r="D6" s="0" t="s">
        <v>33</v>
      </c>
      <c r="E6" s="0" t="s">
        <v>51</v>
      </c>
      <c r="F6" s="0" t="n">
        <v>5</v>
      </c>
      <c r="G6" s="0" t="n">
        <v>2</v>
      </c>
      <c r="H6" s="2" t="s">
        <v>27</v>
      </c>
      <c r="I6" s="2" t="s">
        <v>28</v>
      </c>
      <c r="J6" s="2" t="n">
        <v>180000</v>
      </c>
      <c r="K6" s="2" t="n">
        <v>20</v>
      </c>
      <c r="L6" s="2" t="n">
        <f aca="false">J6*K6/100</f>
        <v>36000</v>
      </c>
      <c r="M6" s="2" t="n">
        <v>755.5</v>
      </c>
      <c r="N6" s="2" t="n">
        <v>745.3</v>
      </c>
      <c r="O6" s="2" t="n">
        <v>727.1</v>
      </c>
      <c r="P6" s="2" t="n">
        <v>561.6</v>
      </c>
      <c r="T6" s="2" t="s">
        <v>52</v>
      </c>
      <c r="U6" s="2" t="n">
        <v>180.4</v>
      </c>
      <c r="W6" s="2" t="s">
        <v>53</v>
      </c>
      <c r="X6" s="2" t="n">
        <v>16.05</v>
      </c>
      <c r="Z6" s="0" t="s">
        <v>54</v>
      </c>
      <c r="AA6" s="2" t="s">
        <v>54</v>
      </c>
      <c r="AB6" s="0" t="s">
        <v>55</v>
      </c>
    </row>
    <row r="7" customFormat="false" ht="12.8" hidden="false" customHeight="false" outlineLevel="0" collapsed="false">
      <c r="A7" s="3" t="n">
        <v>46310</v>
      </c>
      <c r="B7" s="2" t="s">
        <v>46</v>
      </c>
      <c r="C7" s="2" t="s">
        <v>24</v>
      </c>
      <c r="D7" s="2" t="s">
        <v>39</v>
      </c>
      <c r="E7" s="2" t="s">
        <v>40</v>
      </c>
      <c r="F7" s="2" t="n">
        <v>5</v>
      </c>
      <c r="G7" s="2" t="n">
        <v>4</v>
      </c>
      <c r="H7" s="2" t="s">
        <v>27</v>
      </c>
      <c r="I7" s="2" t="s">
        <v>28</v>
      </c>
      <c r="J7" s="2" t="n">
        <v>180000</v>
      </c>
      <c r="K7" s="2" t="n">
        <v>30</v>
      </c>
      <c r="L7" s="2" t="n">
        <f aca="false">J7*K7/100</f>
        <v>54000</v>
      </c>
      <c r="M7" s="2" t="n">
        <v>1188.1</v>
      </c>
      <c r="N7" s="2" t="n">
        <v>1027.7</v>
      </c>
      <c r="O7" s="2" t="n">
        <v>1004.1</v>
      </c>
      <c r="P7" s="2" t="n">
        <v>820.5</v>
      </c>
      <c r="T7" s="0" t="s">
        <v>56</v>
      </c>
      <c r="U7" s="0" t="n">
        <v>240.19</v>
      </c>
      <c r="W7" s="2" t="s">
        <v>57</v>
      </c>
      <c r="X7" s="2" t="n">
        <v>13.35</v>
      </c>
      <c r="Z7" s="0" t="s">
        <v>58</v>
      </c>
      <c r="AA7" s="2" t="s">
        <v>58</v>
      </c>
      <c r="AB7" s="0" t="s">
        <v>59</v>
      </c>
    </row>
    <row r="8" customFormat="false" ht="12.8" hidden="false" customHeight="false" outlineLevel="0" collapsed="false">
      <c r="A8" s="3" t="n">
        <v>46310</v>
      </c>
      <c r="B8" s="0" t="s">
        <v>60</v>
      </c>
      <c r="C8" s="0" t="s">
        <v>24</v>
      </c>
      <c r="D8" s="0" t="s">
        <v>25</v>
      </c>
      <c r="E8" s="0" t="s">
        <v>26</v>
      </c>
      <c r="F8" s="0" t="n">
        <v>5</v>
      </c>
      <c r="G8" s="0" t="n">
        <v>2</v>
      </c>
      <c r="H8" s="0" t="s">
        <v>27</v>
      </c>
      <c r="I8" s="2" t="s">
        <v>41</v>
      </c>
      <c r="J8" s="2" t="n">
        <v>176050</v>
      </c>
      <c r="K8" s="0" t="n">
        <v>48</v>
      </c>
      <c r="L8" s="0" t="n">
        <f aca="false">J8*K8/100</f>
        <v>84504</v>
      </c>
      <c r="M8" s="0" t="n">
        <v>1141.6</v>
      </c>
      <c r="N8" s="0" t="n">
        <v>1160.4</v>
      </c>
      <c r="O8" s="0" t="n">
        <v>755.2</v>
      </c>
      <c r="P8" s="0" t="n">
        <v>921.6</v>
      </c>
      <c r="T8" s="2" t="s">
        <v>61</v>
      </c>
      <c r="U8" s="2" t="n">
        <v>540.43</v>
      </c>
      <c r="W8" s="2" t="s">
        <v>62</v>
      </c>
      <c r="X8" s="2" t="n">
        <v>11.1</v>
      </c>
      <c r="Z8" s="0" t="s">
        <v>63</v>
      </c>
      <c r="AA8" s="2" t="s">
        <v>63</v>
      </c>
    </row>
    <row r="9" customFormat="false" ht="12.8" hidden="false" customHeight="false" outlineLevel="0" collapsed="false">
      <c r="A9" s="3" t="n">
        <v>46310</v>
      </c>
      <c r="B9" s="2" t="s">
        <v>60</v>
      </c>
      <c r="C9" s="2" t="s">
        <v>24</v>
      </c>
      <c r="D9" s="0" t="s">
        <v>33</v>
      </c>
      <c r="E9" s="0" t="s">
        <v>34</v>
      </c>
      <c r="F9" s="0" t="n">
        <v>5</v>
      </c>
      <c r="G9" s="0" t="n">
        <v>5</v>
      </c>
      <c r="H9" s="2" t="s">
        <v>27</v>
      </c>
      <c r="I9" s="2" t="s">
        <v>28</v>
      </c>
      <c r="J9" s="2" t="n">
        <v>176050</v>
      </c>
      <c r="K9" s="2" t="n">
        <v>4</v>
      </c>
      <c r="L9" s="2" t="n">
        <f aca="false">J9*K9/100</f>
        <v>7042</v>
      </c>
      <c r="M9" s="2" t="n">
        <v>919.5</v>
      </c>
      <c r="N9" s="2" t="n">
        <v>921.8</v>
      </c>
      <c r="O9" s="2" t="n">
        <v>575.8</v>
      </c>
      <c r="P9" s="2" t="n">
        <v>516.8</v>
      </c>
      <c r="T9" s="2" t="s">
        <v>64</v>
      </c>
      <c r="U9" s="2" t="n">
        <v>374.67</v>
      </c>
      <c r="W9" s="2" t="s">
        <v>65</v>
      </c>
      <c r="X9" s="2" t="n">
        <v>9.25</v>
      </c>
    </row>
    <row r="10" customFormat="false" ht="12.8" hidden="false" customHeight="false" outlineLevel="0" collapsed="false">
      <c r="A10" s="3" t="n">
        <v>46310</v>
      </c>
      <c r="B10" s="2" t="s">
        <v>60</v>
      </c>
      <c r="C10" s="2" t="s">
        <v>24</v>
      </c>
      <c r="D10" s="2" t="s">
        <v>39</v>
      </c>
      <c r="E10" s="2" t="s">
        <v>40</v>
      </c>
      <c r="F10" s="2" t="n">
        <v>5</v>
      </c>
      <c r="G10" s="2" t="n">
        <v>3</v>
      </c>
      <c r="H10" s="2" t="s">
        <v>27</v>
      </c>
      <c r="I10" s="2" t="s">
        <v>28</v>
      </c>
      <c r="J10" s="2" t="n">
        <v>176050</v>
      </c>
      <c r="K10" s="2" t="n">
        <v>48</v>
      </c>
      <c r="L10" s="2" t="n">
        <f aca="false">J10*K10/100</f>
        <v>84504</v>
      </c>
      <c r="M10" s="2" t="n">
        <v>1108.3</v>
      </c>
      <c r="N10" s="2" t="n">
        <v>1110.5</v>
      </c>
      <c r="O10" s="2" t="n">
        <v>909.3</v>
      </c>
      <c r="P10" s="2" t="n">
        <v>679.9</v>
      </c>
      <c r="T10" s="2" t="s">
        <v>66</v>
      </c>
      <c r="U10" s="2" t="n">
        <v>290.23</v>
      </c>
      <c r="W10" s="2" t="s">
        <v>67</v>
      </c>
      <c r="X10" s="2" t="n">
        <v>7</v>
      </c>
    </row>
    <row r="11" customFormat="false" ht="12.8" hidden="false" customHeight="false" outlineLevel="0" collapsed="false">
      <c r="A11" s="3" t="n">
        <v>46310</v>
      </c>
      <c r="B11" s="0" t="s">
        <v>68</v>
      </c>
      <c r="C11" s="0" t="s">
        <v>24</v>
      </c>
      <c r="D11" s="0" t="s">
        <v>25</v>
      </c>
      <c r="E11" s="0" t="s">
        <v>69</v>
      </c>
      <c r="F11" s="0" t="n">
        <v>4</v>
      </c>
      <c r="G11" s="0" t="n">
        <v>5</v>
      </c>
      <c r="H11" s="0" t="s">
        <v>27</v>
      </c>
      <c r="I11" s="2" t="s">
        <v>41</v>
      </c>
      <c r="J11" s="2" t="n">
        <v>176050</v>
      </c>
      <c r="K11" s="0" t="n">
        <v>48</v>
      </c>
      <c r="L11" s="0" t="n">
        <f aca="false">J11*K11/100</f>
        <v>84504</v>
      </c>
      <c r="M11" s="0" t="n">
        <v>857.7</v>
      </c>
      <c r="N11" s="0" t="n">
        <v>846.4</v>
      </c>
      <c r="O11" s="0" t="n">
        <v>618.7</v>
      </c>
      <c r="P11" s="0" t="n">
        <v>649.1</v>
      </c>
      <c r="T11" s="2" t="s">
        <v>70</v>
      </c>
      <c r="U11" s="2" t="n">
        <v>201.21</v>
      </c>
      <c r="W11" s="2" t="s">
        <v>71</v>
      </c>
      <c r="X11" s="2" t="n">
        <v>6</v>
      </c>
    </row>
    <row r="12" customFormat="false" ht="12.8" hidden="false" customHeight="false" outlineLevel="0" collapsed="false">
      <c r="A12" s="3" t="n">
        <v>46310</v>
      </c>
      <c r="B12" s="2" t="s">
        <v>68</v>
      </c>
      <c r="C12" s="2" t="s">
        <v>24</v>
      </c>
      <c r="D12" s="0" t="s">
        <v>33</v>
      </c>
      <c r="E12" s="0" t="s">
        <v>72</v>
      </c>
      <c r="F12" s="0" t="n">
        <v>4</v>
      </c>
      <c r="G12" s="0" t="n">
        <v>1</v>
      </c>
      <c r="H12" s="2" t="s">
        <v>27</v>
      </c>
      <c r="I12" s="2" t="s">
        <v>28</v>
      </c>
      <c r="J12" s="2" t="n">
        <v>176050</v>
      </c>
      <c r="K12" s="2" t="n">
        <v>4</v>
      </c>
      <c r="L12" s="2" t="n">
        <f aca="false">J12*K12/100</f>
        <v>7042</v>
      </c>
      <c r="M12" s="2" t="n">
        <v>1037.5</v>
      </c>
      <c r="N12" s="2" t="n">
        <v>1039.8</v>
      </c>
      <c r="O12" s="2" t="n">
        <v>799.1</v>
      </c>
      <c r="P12" s="2" t="n">
        <v>578.4</v>
      </c>
      <c r="T12" s="2" t="s">
        <v>73</v>
      </c>
      <c r="U12" s="2" t="n">
        <v>444.35</v>
      </c>
      <c r="W12" s="2" t="s">
        <v>74</v>
      </c>
      <c r="X12" s="2" t="n">
        <v>5</v>
      </c>
    </row>
    <row r="13" customFormat="false" ht="12.8" hidden="false" customHeight="false" outlineLevel="0" collapsed="false">
      <c r="A13" s="3" t="n">
        <v>46310</v>
      </c>
      <c r="B13" s="2" t="s">
        <v>68</v>
      </c>
      <c r="C13" s="2" t="s">
        <v>24</v>
      </c>
      <c r="D13" s="2" t="s">
        <v>39</v>
      </c>
      <c r="E13" s="2" t="s">
        <v>75</v>
      </c>
      <c r="F13" s="2" t="n">
        <v>5</v>
      </c>
      <c r="G13" s="2" t="n">
        <v>1</v>
      </c>
      <c r="H13" s="2" t="s">
        <v>27</v>
      </c>
      <c r="I13" s="2" t="s">
        <v>28</v>
      </c>
      <c r="J13" s="2" t="n">
        <v>176050</v>
      </c>
      <c r="K13" s="2" t="n">
        <v>48</v>
      </c>
      <c r="L13" s="2" t="n">
        <f aca="false">J13*K13/100</f>
        <v>84504</v>
      </c>
      <c r="M13" s="2" t="n">
        <v>1014.2</v>
      </c>
      <c r="N13" s="2" t="n">
        <v>1016.5</v>
      </c>
      <c r="O13" s="2" t="n">
        <v>609.2</v>
      </c>
      <c r="P13" s="2" t="n">
        <v>513.4</v>
      </c>
      <c r="T13" s="2" t="s">
        <v>76</v>
      </c>
      <c r="U13" s="2" t="n">
        <v>308.06</v>
      </c>
    </row>
    <row r="14" customFormat="false" ht="12.8" hidden="false" customHeight="false" outlineLevel="0" collapsed="false">
      <c r="A14" s="3" t="n">
        <v>46310</v>
      </c>
      <c r="B14" s="0" t="s">
        <v>77</v>
      </c>
      <c r="C14" s="0" t="s">
        <v>24</v>
      </c>
      <c r="D14" s="0" t="s">
        <v>25</v>
      </c>
      <c r="E14" s="0" t="s">
        <v>78</v>
      </c>
      <c r="F14" s="0" t="n">
        <v>5</v>
      </c>
      <c r="G14" s="0" t="n">
        <v>5</v>
      </c>
      <c r="H14" s="0" t="s">
        <v>27</v>
      </c>
      <c r="I14" s="2" t="s">
        <v>41</v>
      </c>
      <c r="J14" s="0" t="n">
        <v>190000</v>
      </c>
      <c r="K14" s="0" t="n">
        <v>40</v>
      </c>
      <c r="L14" s="2" t="n">
        <f aca="false">J14*K14/100</f>
        <v>76000</v>
      </c>
      <c r="M14" s="0" t="n">
        <v>1655.3</v>
      </c>
      <c r="N14" s="0" t="n">
        <v>1189.5</v>
      </c>
      <c r="O14" s="0" t="n">
        <v>1285.9</v>
      </c>
      <c r="P14" s="0" t="n">
        <v>1099.4</v>
      </c>
      <c r="T14" s="2" t="s">
        <v>79</v>
      </c>
      <c r="U14" s="2" t="n">
        <v>370.29</v>
      </c>
    </row>
    <row r="15" customFormat="false" ht="12.8" hidden="false" customHeight="false" outlineLevel="0" collapsed="false">
      <c r="A15" s="3" t="n">
        <v>46310</v>
      </c>
      <c r="B15" s="2" t="s">
        <v>77</v>
      </c>
      <c r="C15" s="2" t="s">
        <v>24</v>
      </c>
      <c r="D15" s="0" t="s">
        <v>33</v>
      </c>
      <c r="E15" s="0" t="s">
        <v>80</v>
      </c>
      <c r="F15" s="0" t="n">
        <v>5</v>
      </c>
      <c r="G15" s="0" t="n">
        <v>5</v>
      </c>
      <c r="H15" s="2" t="s">
        <v>27</v>
      </c>
      <c r="I15" s="2" t="s">
        <v>28</v>
      </c>
      <c r="J15" s="2" t="n">
        <v>190000</v>
      </c>
      <c r="K15" s="0" t="n">
        <v>20</v>
      </c>
      <c r="L15" s="2" t="n">
        <f aca="false">J15*K15/100</f>
        <v>38000</v>
      </c>
      <c r="M15" s="0" t="n">
        <v>1625.6</v>
      </c>
      <c r="N15" s="0" t="n">
        <v>1168.9</v>
      </c>
      <c r="O15" s="0" t="n">
        <v>1188.4</v>
      </c>
      <c r="P15" s="0" t="n">
        <v>744</v>
      </c>
      <c r="T15" s="2" t="s">
        <v>81</v>
      </c>
      <c r="U15" s="2" t="n">
        <v>540.43</v>
      </c>
    </row>
    <row r="16" customFormat="false" ht="12.8" hidden="false" customHeight="false" outlineLevel="0" collapsed="false">
      <c r="A16" s="3" t="n">
        <v>46310</v>
      </c>
      <c r="B16" s="2" t="s">
        <v>77</v>
      </c>
      <c r="C16" s="2" t="s">
        <v>24</v>
      </c>
      <c r="D16" s="2" t="s">
        <v>39</v>
      </c>
      <c r="E16" s="2" t="s">
        <v>82</v>
      </c>
      <c r="F16" s="0" t="n">
        <v>5</v>
      </c>
      <c r="G16" s="0" t="n">
        <v>5</v>
      </c>
      <c r="H16" s="2" t="s">
        <v>27</v>
      </c>
      <c r="I16" s="2" t="s">
        <v>41</v>
      </c>
      <c r="J16" s="2" t="n">
        <v>190000</v>
      </c>
      <c r="K16" s="0" t="n">
        <v>40</v>
      </c>
      <c r="L16" s="2" t="n">
        <f aca="false">J16*K16/100</f>
        <v>76000</v>
      </c>
      <c r="M16" s="0" t="n">
        <v>1755.1</v>
      </c>
      <c r="N16" s="0" t="n">
        <v>1264.8</v>
      </c>
      <c r="O16" s="0" t="n">
        <v>1684</v>
      </c>
      <c r="P16" s="0" t="n">
        <v>934.4</v>
      </c>
      <c r="T16" s="2" t="s">
        <v>83</v>
      </c>
      <c r="U16" s="2" t="n">
        <v>444.35</v>
      </c>
    </row>
    <row r="17" customFormat="false" ht="12.8" hidden="false" customHeight="false" outlineLevel="0" collapsed="false">
      <c r="A17" s="3" t="n">
        <v>46310</v>
      </c>
      <c r="B17" s="0" t="s">
        <v>84</v>
      </c>
      <c r="C17" s="0" t="s">
        <v>24</v>
      </c>
      <c r="D17" s="0" t="s">
        <v>25</v>
      </c>
      <c r="E17" s="0" t="s">
        <v>78</v>
      </c>
      <c r="F17" s="0" t="n">
        <v>5</v>
      </c>
      <c r="G17" s="0" t="n">
        <v>5</v>
      </c>
      <c r="H17" s="0" t="s">
        <v>27</v>
      </c>
      <c r="I17" s="2" t="s">
        <v>41</v>
      </c>
      <c r="J17" s="0" t="n">
        <v>200000</v>
      </c>
      <c r="K17" s="2" t="n">
        <v>40</v>
      </c>
      <c r="L17" s="2" t="n">
        <f aca="false">J17*K17/100</f>
        <v>80000</v>
      </c>
      <c r="M17" s="2" t="n">
        <v>1719.7</v>
      </c>
      <c r="N17" s="2" t="n">
        <v>1628.1</v>
      </c>
      <c r="O17" s="2" t="n">
        <v>1385.7</v>
      </c>
      <c r="P17" s="2" t="n">
        <v>1452.7</v>
      </c>
      <c r="T17" s="2" t="s">
        <v>85</v>
      </c>
      <c r="U17" s="2" t="n">
        <v>370.29</v>
      </c>
    </row>
    <row r="18" customFormat="false" ht="12.8" hidden="false" customHeight="false" outlineLevel="0" collapsed="false">
      <c r="A18" s="3" t="n">
        <v>46310</v>
      </c>
      <c r="B18" s="2" t="s">
        <v>84</v>
      </c>
      <c r="C18" s="2" t="s">
        <v>24</v>
      </c>
      <c r="D18" s="0" t="s">
        <v>33</v>
      </c>
      <c r="E18" s="0" t="s">
        <v>80</v>
      </c>
      <c r="F18" s="0" t="n">
        <v>5</v>
      </c>
      <c r="G18" s="0" t="n">
        <v>5</v>
      </c>
      <c r="H18" s="2" t="s">
        <v>27</v>
      </c>
      <c r="I18" s="2" t="s">
        <v>28</v>
      </c>
      <c r="J18" s="2" t="n">
        <v>200000</v>
      </c>
      <c r="K18" s="2" t="n">
        <v>20</v>
      </c>
      <c r="L18" s="2" t="n">
        <f aca="false">J18*K18/100</f>
        <v>40000</v>
      </c>
      <c r="M18" s="2" t="n">
        <v>1329.4</v>
      </c>
      <c r="N18" s="2" t="n">
        <v>1256.3</v>
      </c>
      <c r="O18" s="2" t="n">
        <v>846.6</v>
      </c>
      <c r="P18" s="2" t="n">
        <v>894</v>
      </c>
      <c r="T18" s="2"/>
      <c r="U18" s="2"/>
    </row>
    <row r="19" customFormat="false" ht="12.8" hidden="false" customHeight="false" outlineLevel="0" collapsed="false">
      <c r="A19" s="3" t="n">
        <v>46310</v>
      </c>
      <c r="B19" s="2" t="s">
        <v>84</v>
      </c>
      <c r="C19" s="2" t="s">
        <v>24</v>
      </c>
      <c r="D19" s="2" t="s">
        <v>39</v>
      </c>
      <c r="E19" s="2" t="s">
        <v>82</v>
      </c>
      <c r="F19" s="0" t="n">
        <v>5</v>
      </c>
      <c r="G19" s="0" t="n">
        <v>5</v>
      </c>
      <c r="H19" s="2" t="s">
        <v>27</v>
      </c>
      <c r="I19" s="2" t="s">
        <v>41</v>
      </c>
      <c r="J19" s="2" t="n">
        <v>200000</v>
      </c>
      <c r="K19" s="2" t="n">
        <v>40</v>
      </c>
      <c r="L19" s="2" t="n">
        <f aca="false">J19*K19/100</f>
        <v>80000</v>
      </c>
      <c r="M19" s="2" t="n">
        <v>1828.3</v>
      </c>
      <c r="N19" s="2" t="n">
        <v>1727.5</v>
      </c>
      <c r="O19" s="2" t="n">
        <v>1407.6</v>
      </c>
      <c r="P19" s="2" t="n">
        <v>1485</v>
      </c>
      <c r="T19" s="2"/>
      <c r="U19" s="2"/>
    </row>
    <row r="20" customFormat="false" ht="12.8" hidden="false" customHeight="false" outlineLevel="0" collapsed="false">
      <c r="A20" s="3" t="n">
        <v>46310</v>
      </c>
      <c r="B20" s="0" t="s">
        <v>84</v>
      </c>
      <c r="C20" s="0" t="s">
        <v>24</v>
      </c>
      <c r="D20" s="0" t="s">
        <v>25</v>
      </c>
      <c r="E20" s="0" t="s">
        <v>78</v>
      </c>
      <c r="F20" s="0" t="n">
        <v>5</v>
      </c>
      <c r="G20" s="0" t="n">
        <v>5</v>
      </c>
      <c r="H20" s="0" t="s">
        <v>27</v>
      </c>
      <c r="I20" s="2" t="s">
        <v>41</v>
      </c>
      <c r="J20" s="0" t="n">
        <v>180000</v>
      </c>
      <c r="K20" s="2" t="n">
        <v>48</v>
      </c>
      <c r="L20" s="2" t="n">
        <f aca="false">J20*K20/100</f>
        <v>86400</v>
      </c>
      <c r="M20" s="2" t="n">
        <v>1719.7</v>
      </c>
      <c r="N20" s="2" t="n">
        <v>1628.1</v>
      </c>
      <c r="O20" s="2" t="n">
        <v>1385.7</v>
      </c>
      <c r="P20" s="2" t="n">
        <v>1452.7</v>
      </c>
      <c r="T20" s="2"/>
      <c r="U20" s="2"/>
    </row>
    <row r="21" customFormat="false" ht="12.8" hidden="false" customHeight="false" outlineLevel="0" collapsed="false">
      <c r="A21" s="3" t="n">
        <v>46310</v>
      </c>
      <c r="B21" s="2" t="s">
        <v>84</v>
      </c>
      <c r="C21" s="2" t="s">
        <v>24</v>
      </c>
      <c r="D21" s="0" t="s">
        <v>33</v>
      </c>
      <c r="E21" s="0" t="s">
        <v>80</v>
      </c>
      <c r="F21" s="0" t="n">
        <v>5</v>
      </c>
      <c r="G21" s="0" t="n">
        <v>5</v>
      </c>
      <c r="H21" s="2" t="s">
        <v>27</v>
      </c>
      <c r="I21" s="2" t="s">
        <v>28</v>
      </c>
      <c r="J21" s="2" t="n">
        <v>180000</v>
      </c>
      <c r="K21" s="2" t="n">
        <v>4</v>
      </c>
      <c r="L21" s="2" t="n">
        <f aca="false">J21*K21/100</f>
        <v>7200</v>
      </c>
      <c r="M21" s="2" t="n">
        <v>1329.4</v>
      </c>
      <c r="N21" s="2" t="n">
        <v>1256.3</v>
      </c>
      <c r="O21" s="2" t="n">
        <v>846.6</v>
      </c>
      <c r="P21" s="2" t="n">
        <v>894</v>
      </c>
      <c r="T21" s="2"/>
      <c r="U21" s="2"/>
    </row>
    <row r="22" customFormat="false" ht="12.8" hidden="false" customHeight="false" outlineLevel="0" collapsed="false">
      <c r="A22" s="3" t="n">
        <v>46310</v>
      </c>
      <c r="B22" s="2" t="s">
        <v>84</v>
      </c>
      <c r="C22" s="2" t="s">
        <v>24</v>
      </c>
      <c r="D22" s="2" t="s">
        <v>39</v>
      </c>
      <c r="E22" s="2" t="s">
        <v>82</v>
      </c>
      <c r="F22" s="0" t="n">
        <v>5</v>
      </c>
      <c r="G22" s="0" t="n">
        <v>5</v>
      </c>
      <c r="H22" s="2" t="s">
        <v>27</v>
      </c>
      <c r="I22" s="2" t="s">
        <v>41</v>
      </c>
      <c r="J22" s="2" t="n">
        <v>180000</v>
      </c>
      <c r="K22" s="2" t="n">
        <v>48</v>
      </c>
      <c r="L22" s="2" t="n">
        <f aca="false">J22*K22/100</f>
        <v>86400</v>
      </c>
      <c r="M22" s="2" t="n">
        <v>1828.3</v>
      </c>
      <c r="N22" s="2" t="n">
        <v>1727.5</v>
      </c>
      <c r="O22" s="2" t="n">
        <v>1407.6</v>
      </c>
      <c r="P22" s="2" t="n">
        <v>1485</v>
      </c>
      <c r="T22" s="2"/>
      <c r="U22" s="2"/>
    </row>
    <row r="23" customFormat="false" ht="12.8" hidden="false" customHeight="false" outlineLevel="0" collapsed="false">
      <c r="A23" s="3" t="n">
        <v>46310</v>
      </c>
      <c r="B23" s="2" t="s">
        <v>86</v>
      </c>
      <c r="C23" s="0" t="s">
        <v>24</v>
      </c>
      <c r="D23" s="0" t="s">
        <v>25</v>
      </c>
      <c r="E23" s="0" t="s">
        <v>78</v>
      </c>
      <c r="F23" s="0" t="n">
        <v>5</v>
      </c>
      <c r="G23" s="0" t="n">
        <v>5</v>
      </c>
      <c r="H23" s="0" t="s">
        <v>27</v>
      </c>
      <c r="I23" s="2" t="s">
        <v>41</v>
      </c>
      <c r="J23" s="2" t="n">
        <v>190000</v>
      </c>
      <c r="K23" s="0" t="n">
        <v>48</v>
      </c>
      <c r="L23" s="2" t="n">
        <f aca="false">J23*K23/100</f>
        <v>91200</v>
      </c>
      <c r="M23" s="0" t="n">
        <v>1655.3</v>
      </c>
      <c r="N23" s="0" t="n">
        <v>1189.5</v>
      </c>
      <c r="O23" s="0" t="n">
        <v>1285.9</v>
      </c>
      <c r="P23" s="0" t="n">
        <v>1099.4</v>
      </c>
      <c r="Q23" s="2"/>
      <c r="R23" s="2"/>
      <c r="S23" s="2"/>
      <c r="T23" s="2"/>
      <c r="U23" s="2"/>
      <c r="V23" s="2"/>
      <c r="W23" s="2"/>
      <c r="X23" s="2"/>
    </row>
    <row r="24" customFormat="false" ht="12.8" hidden="false" customHeight="false" outlineLevel="0" collapsed="false">
      <c r="A24" s="3" t="n">
        <v>46310</v>
      </c>
      <c r="B24" s="2" t="s">
        <v>86</v>
      </c>
      <c r="C24" s="2" t="s">
        <v>24</v>
      </c>
      <c r="D24" s="0" t="s">
        <v>33</v>
      </c>
      <c r="E24" s="0" t="s">
        <v>80</v>
      </c>
      <c r="F24" s="0" t="n">
        <v>5</v>
      </c>
      <c r="G24" s="0" t="n">
        <v>5</v>
      </c>
      <c r="H24" s="2" t="s">
        <v>27</v>
      </c>
      <c r="I24" s="2" t="s">
        <v>28</v>
      </c>
      <c r="J24" s="2" t="n">
        <v>190000</v>
      </c>
      <c r="K24" s="0" t="n">
        <v>4</v>
      </c>
      <c r="L24" s="2" t="n">
        <f aca="false">J24*K24/100</f>
        <v>7600</v>
      </c>
      <c r="M24" s="0" t="n">
        <f aca="false">M18-($U$8-$U$10)</f>
        <v>1079.2</v>
      </c>
      <c r="N24" s="2" t="n">
        <f aca="false">N18-($U$8-$U$10)</f>
        <v>1006.1</v>
      </c>
      <c r="O24" s="0" t="n">
        <v>1188.4</v>
      </c>
      <c r="P24" s="0" t="n">
        <v>744</v>
      </c>
      <c r="R24" s="2" t="s">
        <v>87</v>
      </c>
      <c r="S24" s="2"/>
    </row>
    <row r="25" customFormat="false" ht="12.8" hidden="false" customHeight="false" outlineLevel="0" collapsed="false">
      <c r="A25" s="3" t="n">
        <v>46310</v>
      </c>
      <c r="B25" s="2" t="s">
        <v>86</v>
      </c>
      <c r="C25" s="2" t="s">
        <v>24</v>
      </c>
      <c r="D25" s="2" t="s">
        <v>39</v>
      </c>
      <c r="E25" s="2" t="s">
        <v>82</v>
      </c>
      <c r="F25" s="0" t="n">
        <v>5</v>
      </c>
      <c r="G25" s="0" t="n">
        <v>5</v>
      </c>
      <c r="H25" s="2" t="s">
        <v>27</v>
      </c>
      <c r="I25" s="2" t="s">
        <v>41</v>
      </c>
      <c r="J25" s="4" t="n">
        <v>190000</v>
      </c>
      <c r="K25" s="4" t="n">
        <v>48</v>
      </c>
      <c r="L25" s="4" t="n">
        <f aca="false">J25*K25/100</f>
        <v>91200</v>
      </c>
      <c r="M25" s="4" t="n">
        <v>1755.1</v>
      </c>
      <c r="N25" s="4" t="n">
        <v>1264.8</v>
      </c>
      <c r="O25" s="4" t="n">
        <v>1684</v>
      </c>
      <c r="P25" s="4" t="n">
        <v>934.4</v>
      </c>
      <c r="R25" s="2"/>
      <c r="S25" s="2"/>
    </row>
    <row r="26" customFormat="false" ht="12.8" hidden="false" customHeight="false" outlineLevel="0" collapsed="false">
      <c r="A26" s="3" t="n">
        <v>46310</v>
      </c>
      <c r="B26" s="2" t="s">
        <v>88</v>
      </c>
      <c r="C26" s="0" t="s">
        <v>24</v>
      </c>
      <c r="D26" s="0" t="s">
        <v>25</v>
      </c>
      <c r="E26" s="0" t="s">
        <v>78</v>
      </c>
      <c r="F26" s="0" t="n">
        <v>5</v>
      </c>
      <c r="G26" s="0" t="n">
        <v>5</v>
      </c>
      <c r="H26" s="0" t="s">
        <v>27</v>
      </c>
      <c r="I26" s="2" t="s">
        <v>41</v>
      </c>
      <c r="J26" s="4" t="n">
        <v>190000</v>
      </c>
      <c r="K26" s="4" t="n">
        <v>40</v>
      </c>
      <c r="L26" s="4" t="n">
        <f aca="false">J26*K26/100</f>
        <v>76000</v>
      </c>
      <c r="M26" s="4" t="n">
        <v>1545.90909090909</v>
      </c>
      <c r="N26" s="4" t="n">
        <v>1374.45454545455</v>
      </c>
      <c r="O26" s="4" t="n">
        <v>1383.3</v>
      </c>
      <c r="P26" s="4" t="n">
        <v>1344.8</v>
      </c>
      <c r="R26" s="2"/>
      <c r="S26" s="2"/>
    </row>
    <row r="27" customFormat="false" ht="12.8" hidden="false" customHeight="false" outlineLevel="0" collapsed="false">
      <c r="A27" s="3" t="n">
        <v>46310</v>
      </c>
      <c r="B27" s="2" t="s">
        <v>88</v>
      </c>
      <c r="C27" s="2" t="s">
        <v>24</v>
      </c>
      <c r="D27" s="0" t="s">
        <v>33</v>
      </c>
      <c r="E27" s="0" t="s">
        <v>80</v>
      </c>
      <c r="F27" s="0" t="n">
        <v>5</v>
      </c>
      <c r="G27" s="0" t="n">
        <v>5</v>
      </c>
      <c r="H27" s="2" t="s">
        <v>27</v>
      </c>
      <c r="I27" s="2" t="s">
        <v>28</v>
      </c>
      <c r="J27" s="4" t="n">
        <v>190000</v>
      </c>
      <c r="K27" s="4" t="n">
        <v>20</v>
      </c>
      <c r="L27" s="4" t="n">
        <f aca="false">J27*K27/100</f>
        <v>38000</v>
      </c>
      <c r="M27" s="4" t="n">
        <v>1526.36363636364</v>
      </c>
      <c r="N27" s="4" t="n">
        <v>1338.45454545455</v>
      </c>
      <c r="O27" s="4" t="n">
        <v>937</v>
      </c>
      <c r="P27" s="4" t="n">
        <v>806.4</v>
      </c>
      <c r="Q27" s="5" t="n">
        <v>0.02</v>
      </c>
      <c r="R27" s="2" t="s">
        <v>89</v>
      </c>
      <c r="S27" s="2"/>
    </row>
    <row r="28" customFormat="false" ht="12.8" hidden="false" customHeight="false" outlineLevel="0" collapsed="false">
      <c r="A28" s="3" t="n">
        <v>46310</v>
      </c>
      <c r="B28" s="2" t="s">
        <v>88</v>
      </c>
      <c r="C28" s="2" t="s">
        <v>24</v>
      </c>
      <c r="D28" s="2" t="s">
        <v>39</v>
      </c>
      <c r="E28" s="2" t="s">
        <v>82</v>
      </c>
      <c r="F28" s="0" t="n">
        <v>5</v>
      </c>
      <c r="G28" s="0" t="n">
        <v>5</v>
      </c>
      <c r="H28" s="2" t="s">
        <v>27</v>
      </c>
      <c r="I28" s="2" t="s">
        <v>41</v>
      </c>
      <c r="J28" s="4" t="n">
        <v>190000</v>
      </c>
      <c r="K28" s="4" t="n">
        <v>40</v>
      </c>
      <c r="L28" s="4" t="n">
        <f aca="false">J28*K28/100</f>
        <v>76000</v>
      </c>
      <c r="M28" s="4" t="n">
        <v>1620.54545454545</v>
      </c>
      <c r="N28" s="4" t="n">
        <v>1465.90909090909</v>
      </c>
      <c r="O28" s="4" t="n">
        <v>1571</v>
      </c>
      <c r="P28" s="4" t="n">
        <v>1107.8</v>
      </c>
      <c r="R28" s="2"/>
      <c r="S28" s="2"/>
    </row>
    <row r="29" customFormat="false" ht="12.8" hidden="false" customHeight="false" outlineLevel="0" collapsed="false">
      <c r="A29" s="3" t="n">
        <v>46310</v>
      </c>
      <c r="B29" s="2" t="s">
        <v>90</v>
      </c>
      <c r="C29" s="0" t="s">
        <v>24</v>
      </c>
      <c r="D29" s="0" t="s">
        <v>25</v>
      </c>
      <c r="E29" s="0" t="s">
        <v>78</v>
      </c>
      <c r="F29" s="0" t="n">
        <v>5</v>
      </c>
      <c r="G29" s="0" t="n">
        <v>5</v>
      </c>
      <c r="H29" s="0" t="s">
        <v>27</v>
      </c>
      <c r="I29" s="2" t="s">
        <v>41</v>
      </c>
      <c r="J29" s="4" t="n">
        <v>190000</v>
      </c>
      <c r="K29" s="4" t="n">
        <v>50</v>
      </c>
      <c r="L29" s="4" t="n">
        <f aca="false">J29*K29/100</f>
        <v>95000</v>
      </c>
      <c r="M29" s="4" t="n">
        <v>1545.90909090909</v>
      </c>
      <c r="N29" s="4" t="n">
        <v>1374.45454545455</v>
      </c>
      <c r="O29" s="4" t="n">
        <v>1383.3</v>
      </c>
      <c r="P29" s="4" t="n">
        <v>1344.8</v>
      </c>
    </row>
    <row r="30" customFormat="false" ht="12.8" hidden="false" customHeight="false" outlineLevel="0" collapsed="false">
      <c r="A30" s="3" t="n">
        <v>46310</v>
      </c>
      <c r="B30" s="2" t="s">
        <v>90</v>
      </c>
      <c r="C30" s="2" t="s">
        <v>24</v>
      </c>
      <c r="D30" s="0" t="s">
        <v>33</v>
      </c>
      <c r="E30" s="0" t="s">
        <v>80</v>
      </c>
      <c r="F30" s="0" t="n">
        <v>5</v>
      </c>
      <c r="G30" s="0" t="n">
        <v>5</v>
      </c>
      <c r="H30" s="2" t="s">
        <v>27</v>
      </c>
      <c r="I30" s="2" t="s">
        <v>28</v>
      </c>
      <c r="J30" s="4" t="n">
        <v>190000</v>
      </c>
      <c r="K30" s="4" t="n">
        <v>20</v>
      </c>
      <c r="L30" s="4" t="n">
        <f aca="false">J30*K30/100</f>
        <v>38000</v>
      </c>
      <c r="M30" s="4" t="n">
        <v>1526.36363636364</v>
      </c>
      <c r="N30" s="4" t="n">
        <v>1338.45454545455</v>
      </c>
      <c r="O30" s="4" t="n">
        <v>937</v>
      </c>
      <c r="P30" s="4" t="n">
        <v>806.4</v>
      </c>
      <c r="Q30" s="5" t="n">
        <v>0.045</v>
      </c>
    </row>
    <row r="31" customFormat="false" ht="12.8" hidden="false" customHeight="false" outlineLevel="0" collapsed="false">
      <c r="A31" s="3" t="n">
        <v>46310</v>
      </c>
      <c r="B31" s="2" t="s">
        <v>90</v>
      </c>
      <c r="C31" s="2" t="s">
        <v>24</v>
      </c>
      <c r="D31" s="2" t="s">
        <v>39</v>
      </c>
      <c r="E31" s="2" t="s">
        <v>82</v>
      </c>
      <c r="F31" s="0" t="n">
        <v>5</v>
      </c>
      <c r="G31" s="0" t="n">
        <v>5</v>
      </c>
      <c r="H31" s="2" t="s">
        <v>27</v>
      </c>
      <c r="I31" s="2" t="s">
        <v>41</v>
      </c>
      <c r="J31" s="4" t="n">
        <v>190000</v>
      </c>
      <c r="K31" s="4" t="n">
        <v>30</v>
      </c>
      <c r="L31" s="4" t="n">
        <f aca="false">J31*K31/100</f>
        <v>57000</v>
      </c>
      <c r="M31" s="4" t="n">
        <v>1620.54545454545</v>
      </c>
      <c r="N31" s="4" t="n">
        <v>1465.90909090909</v>
      </c>
      <c r="O31" s="4" t="n">
        <v>1571</v>
      </c>
      <c r="P31" s="4" t="n">
        <v>1107.8</v>
      </c>
    </row>
    <row r="32" customFormat="false" ht="12.8" hidden="false" customHeight="false" outlineLevel="0" collapsed="false">
      <c r="A32" s="3" t="n">
        <v>46310</v>
      </c>
      <c r="B32" s="2" t="s">
        <v>91</v>
      </c>
      <c r="C32" s="0" t="s">
        <v>24</v>
      </c>
      <c r="D32" s="0" t="s">
        <v>25</v>
      </c>
      <c r="E32" s="0" t="s">
        <v>78</v>
      </c>
      <c r="F32" s="0" t="n">
        <v>5</v>
      </c>
      <c r="G32" s="0" t="n">
        <v>5</v>
      </c>
      <c r="H32" s="0" t="s">
        <v>27</v>
      </c>
      <c r="I32" s="2" t="s">
        <v>41</v>
      </c>
      <c r="J32" s="4" t="n">
        <v>190000</v>
      </c>
      <c r="K32" s="4" t="n">
        <v>48</v>
      </c>
      <c r="L32" s="4" t="n">
        <f aca="false">J32*K32/100</f>
        <v>91200</v>
      </c>
      <c r="M32" s="4" t="n">
        <v>1545.90909090909</v>
      </c>
      <c r="N32" s="4" t="n">
        <v>1374.45454545455</v>
      </c>
      <c r="O32" s="4" t="n">
        <v>1383.3</v>
      </c>
      <c r="P32" s="4" t="n">
        <v>1344.8</v>
      </c>
    </row>
    <row r="33" customFormat="false" ht="12.8" hidden="false" customHeight="false" outlineLevel="0" collapsed="false">
      <c r="A33" s="3" t="n">
        <v>46310</v>
      </c>
      <c r="B33" s="2" t="s">
        <v>91</v>
      </c>
      <c r="C33" s="2" t="s">
        <v>24</v>
      </c>
      <c r="D33" s="0" t="s">
        <v>33</v>
      </c>
      <c r="E33" s="0" t="s">
        <v>34</v>
      </c>
      <c r="F33" s="0" t="n">
        <v>5</v>
      </c>
      <c r="G33" s="0" t="n">
        <v>5</v>
      </c>
      <c r="H33" s="2" t="s">
        <v>27</v>
      </c>
      <c r="I33" s="2" t="s">
        <v>28</v>
      </c>
      <c r="J33" s="4" t="n">
        <v>190000</v>
      </c>
      <c r="K33" s="4" t="n">
        <v>4</v>
      </c>
      <c r="L33" s="4" t="n">
        <f aca="false">J33*K33/100</f>
        <v>7600</v>
      </c>
      <c r="M33" s="4" t="n">
        <f aca="false">M30-340</f>
        <v>1186.36363636364</v>
      </c>
      <c r="N33" s="4" t="n">
        <f aca="false">N30-340</f>
        <v>998.454545454545</v>
      </c>
      <c r="O33" s="4" t="n">
        <v>937</v>
      </c>
      <c r="P33" s="4" t="n">
        <v>806.4</v>
      </c>
      <c r="Q33" s="5" t="n">
        <v>0.879</v>
      </c>
      <c r="R33" s="0" t="s">
        <v>92</v>
      </c>
    </row>
    <row r="34" customFormat="false" ht="12.8" hidden="false" customHeight="false" outlineLevel="0" collapsed="false">
      <c r="A34" s="3" t="n">
        <v>46310</v>
      </c>
      <c r="B34" s="2" t="s">
        <v>91</v>
      </c>
      <c r="C34" s="2" t="s">
        <v>24</v>
      </c>
      <c r="D34" s="2" t="s">
        <v>39</v>
      </c>
      <c r="E34" s="2" t="s">
        <v>82</v>
      </c>
      <c r="F34" s="0" t="n">
        <v>5</v>
      </c>
      <c r="G34" s="0" t="n">
        <v>5</v>
      </c>
      <c r="H34" s="2" t="s">
        <v>27</v>
      </c>
      <c r="I34" s="2" t="s">
        <v>41</v>
      </c>
      <c r="J34" s="4" t="n">
        <v>190000</v>
      </c>
      <c r="K34" s="4" t="n">
        <v>48</v>
      </c>
      <c r="L34" s="4" t="n">
        <f aca="false">J34*K34/100</f>
        <v>91200</v>
      </c>
      <c r="M34" s="4" t="n">
        <v>1620.54545454545</v>
      </c>
      <c r="N34" s="4" t="n">
        <v>1465.90909090909</v>
      </c>
      <c r="O34" s="4" t="n">
        <v>1571</v>
      </c>
      <c r="P34" s="4" t="n">
        <v>1107.8</v>
      </c>
    </row>
    <row r="35" customFormat="false" ht="12.8" hidden="false" customHeight="false" outlineLevel="0" collapsed="false">
      <c r="A35" s="3" t="n">
        <v>46310</v>
      </c>
      <c r="B35" s="2" t="s">
        <v>93</v>
      </c>
      <c r="C35" s="0" t="s">
        <v>24</v>
      </c>
      <c r="D35" s="0" t="s">
        <v>25</v>
      </c>
      <c r="E35" s="0" t="s">
        <v>78</v>
      </c>
      <c r="F35" s="0" t="n">
        <v>5</v>
      </c>
      <c r="G35" s="0" t="n">
        <v>5</v>
      </c>
      <c r="H35" s="0" t="s">
        <v>27</v>
      </c>
      <c r="I35" s="2" t="s">
        <v>41</v>
      </c>
      <c r="J35" s="4" t="n">
        <v>190000</v>
      </c>
      <c r="K35" s="4" t="n">
        <v>60</v>
      </c>
      <c r="L35" s="4" t="n">
        <f aca="false">J35*K35/100</f>
        <v>114000</v>
      </c>
      <c r="M35" s="4" t="n">
        <v>1545.90909090909</v>
      </c>
      <c r="N35" s="4" t="n">
        <v>1374.45454545455</v>
      </c>
      <c r="O35" s="4" t="n">
        <v>1383.3</v>
      </c>
      <c r="P35" s="4" t="n">
        <v>1344.8</v>
      </c>
    </row>
    <row r="36" customFormat="false" ht="12.8" hidden="false" customHeight="false" outlineLevel="0" collapsed="false">
      <c r="A36" s="3" t="n">
        <v>46310</v>
      </c>
      <c r="B36" s="2" t="s">
        <v>93</v>
      </c>
      <c r="C36" s="2" t="s">
        <v>24</v>
      </c>
      <c r="D36" s="0" t="s">
        <v>33</v>
      </c>
      <c r="E36" s="0" t="s">
        <v>34</v>
      </c>
      <c r="F36" s="0" t="n">
        <v>5</v>
      </c>
      <c r="G36" s="0" t="n">
        <v>5</v>
      </c>
      <c r="H36" s="2" t="s">
        <v>27</v>
      </c>
      <c r="I36" s="2" t="s">
        <v>28</v>
      </c>
      <c r="J36" s="4" t="n">
        <v>190000</v>
      </c>
      <c r="K36" s="4" t="n">
        <v>0</v>
      </c>
      <c r="L36" s="4" t="n">
        <f aca="false">J36*K36/100</f>
        <v>0</v>
      </c>
      <c r="M36" s="4" t="n">
        <v>1186.36363636364</v>
      </c>
      <c r="N36" s="4" t="n">
        <v>998.454545454545</v>
      </c>
      <c r="O36" s="4" t="n">
        <v>937</v>
      </c>
      <c r="P36" s="4" t="n">
        <v>806.4</v>
      </c>
      <c r="Q36" s="5" t="n">
        <v>0.972</v>
      </c>
      <c r="R36" s="0" t="s">
        <v>94</v>
      </c>
    </row>
    <row r="37" customFormat="false" ht="12.8" hidden="false" customHeight="false" outlineLevel="0" collapsed="false">
      <c r="A37" s="3" t="n">
        <v>46310</v>
      </c>
      <c r="B37" s="2" t="s">
        <v>93</v>
      </c>
      <c r="C37" s="2" t="s">
        <v>24</v>
      </c>
      <c r="D37" s="2" t="s">
        <v>39</v>
      </c>
      <c r="E37" s="2" t="s">
        <v>82</v>
      </c>
      <c r="F37" s="0" t="n">
        <v>5</v>
      </c>
      <c r="G37" s="0" t="n">
        <v>5</v>
      </c>
      <c r="H37" s="2" t="s">
        <v>27</v>
      </c>
      <c r="I37" s="2" t="s">
        <v>41</v>
      </c>
      <c r="J37" s="4" t="n">
        <v>190000</v>
      </c>
      <c r="K37" s="4" t="n">
        <v>40</v>
      </c>
      <c r="L37" s="4" t="n">
        <f aca="false">J37*K37/100</f>
        <v>76000</v>
      </c>
      <c r="M37" s="4" t="n">
        <v>1620.54545454545</v>
      </c>
      <c r="N37" s="4" t="n">
        <v>1465.90909090909</v>
      </c>
      <c r="O37" s="4" t="n">
        <v>1571</v>
      </c>
      <c r="P37" s="4" t="n">
        <v>1107.8</v>
      </c>
    </row>
    <row r="38" customFormat="false" ht="12.8" hidden="false" customHeight="false" outlineLevel="0" collapsed="false">
      <c r="A38" s="3" t="n">
        <v>46310</v>
      </c>
      <c r="B38" s="2" t="s">
        <v>95</v>
      </c>
      <c r="C38" s="0" t="s">
        <v>24</v>
      </c>
      <c r="D38" s="0" t="s">
        <v>25</v>
      </c>
      <c r="E38" s="0" t="s">
        <v>78</v>
      </c>
      <c r="F38" s="0" t="n">
        <v>5</v>
      </c>
      <c r="G38" s="0" t="n">
        <v>5</v>
      </c>
      <c r="H38" s="0" t="s">
        <v>27</v>
      </c>
      <c r="I38" s="2" t="s">
        <v>41</v>
      </c>
      <c r="J38" s="4" t="n">
        <v>190000</v>
      </c>
      <c r="K38" s="4" t="n">
        <v>55</v>
      </c>
      <c r="L38" s="4" t="n">
        <f aca="false">J38*K38/100</f>
        <v>104500</v>
      </c>
      <c r="M38" s="4" t="n">
        <v>1545.90909090909</v>
      </c>
      <c r="N38" s="4" t="n">
        <v>1374.45454545455</v>
      </c>
      <c r="O38" s="4" t="n">
        <v>1383.3</v>
      </c>
      <c r="P38" s="4" t="n">
        <v>1344.8</v>
      </c>
    </row>
    <row r="39" customFormat="false" ht="12.8" hidden="false" customHeight="false" outlineLevel="0" collapsed="false">
      <c r="A39" s="3" t="n">
        <v>46310</v>
      </c>
      <c r="B39" s="2" t="s">
        <v>95</v>
      </c>
      <c r="C39" s="2" t="s">
        <v>24</v>
      </c>
      <c r="D39" s="0" t="s">
        <v>33</v>
      </c>
      <c r="E39" s="0" t="s">
        <v>72</v>
      </c>
      <c r="F39" s="0" t="n">
        <v>5</v>
      </c>
      <c r="G39" s="0" t="n">
        <v>5</v>
      </c>
      <c r="H39" s="2" t="s">
        <v>27</v>
      </c>
      <c r="I39" s="2" t="s">
        <v>28</v>
      </c>
      <c r="J39" s="4" t="n">
        <v>190000</v>
      </c>
      <c r="K39" s="4" t="n">
        <v>5</v>
      </c>
      <c r="L39" s="4" t="n">
        <f aca="false">J39*K39/100</f>
        <v>9500</v>
      </c>
      <c r="M39" s="4" t="n">
        <f aca="false">M36+155</f>
        <v>1341.36363636364</v>
      </c>
      <c r="N39" s="4" t="n">
        <f aca="false">N36+155</f>
        <v>1153.45454545455</v>
      </c>
      <c r="O39" s="4" t="n">
        <v>937</v>
      </c>
      <c r="P39" s="4" t="n">
        <v>806.4</v>
      </c>
      <c r="Q39" s="5" t="n">
        <v>0.482</v>
      </c>
      <c r="R39" s="0" t="s">
        <v>96</v>
      </c>
    </row>
    <row r="40" customFormat="false" ht="12.8" hidden="false" customHeight="false" outlineLevel="0" collapsed="false">
      <c r="A40" s="3" t="n">
        <v>46310</v>
      </c>
      <c r="B40" s="2" t="s">
        <v>95</v>
      </c>
      <c r="C40" s="2" t="s">
        <v>24</v>
      </c>
      <c r="D40" s="2" t="s">
        <v>39</v>
      </c>
      <c r="E40" s="2" t="s">
        <v>82</v>
      </c>
      <c r="F40" s="0" t="n">
        <v>5</v>
      </c>
      <c r="G40" s="0" t="n">
        <v>5</v>
      </c>
      <c r="H40" s="2" t="s">
        <v>27</v>
      </c>
      <c r="I40" s="2" t="s">
        <v>41</v>
      </c>
      <c r="J40" s="4" t="n">
        <v>190000</v>
      </c>
      <c r="K40" s="4" t="n">
        <v>40</v>
      </c>
      <c r="L40" s="4" t="n">
        <f aca="false">J40*K40/100</f>
        <v>76000</v>
      </c>
      <c r="M40" s="4" t="n">
        <v>1620.54545454545</v>
      </c>
      <c r="N40" s="4" t="n">
        <v>1465.90909090909</v>
      </c>
      <c r="O40" s="4" t="n">
        <v>1571</v>
      </c>
      <c r="P40" s="4" t="n">
        <v>1107.8</v>
      </c>
    </row>
    <row r="41" customFormat="false" ht="12.8" hidden="false" customHeight="false" outlineLevel="0" collapsed="false">
      <c r="A41" s="3" t="n">
        <v>46310</v>
      </c>
      <c r="B41" s="2" t="s">
        <v>97</v>
      </c>
      <c r="C41" s="0" t="s">
        <v>24</v>
      </c>
      <c r="D41" s="0" t="s">
        <v>25</v>
      </c>
      <c r="E41" s="0" t="s">
        <v>26</v>
      </c>
      <c r="F41" s="0" t="n">
        <v>5</v>
      </c>
      <c r="G41" s="0" t="n">
        <v>5</v>
      </c>
      <c r="H41" s="0" t="s">
        <v>27</v>
      </c>
      <c r="I41" s="2" t="s">
        <v>41</v>
      </c>
      <c r="J41" s="2" t="n">
        <v>190000</v>
      </c>
      <c r="K41" s="0" t="n">
        <v>48</v>
      </c>
      <c r="L41" s="2" t="n">
        <f aca="false">J41*K41/100</f>
        <v>91200</v>
      </c>
      <c r="M41" s="2" t="n">
        <f aca="false">M38-100</f>
        <v>1445.90909090909</v>
      </c>
      <c r="N41" s="2" t="n">
        <f aca="false">N38-100</f>
        <v>1274.45454545455</v>
      </c>
      <c r="O41" s="2" t="n">
        <v>1383.3</v>
      </c>
      <c r="P41" s="2" t="n">
        <v>1344.8</v>
      </c>
    </row>
    <row r="42" customFormat="false" ht="12.8" hidden="false" customHeight="false" outlineLevel="0" collapsed="false">
      <c r="A42" s="3" t="n">
        <v>46310</v>
      </c>
      <c r="B42" s="2" t="s">
        <v>97</v>
      </c>
      <c r="C42" s="2" t="s">
        <v>24</v>
      </c>
      <c r="D42" s="0" t="s">
        <v>33</v>
      </c>
      <c r="E42" s="0" t="s">
        <v>72</v>
      </c>
      <c r="F42" s="0" t="n">
        <v>5</v>
      </c>
      <c r="G42" s="0" t="n">
        <v>5</v>
      </c>
      <c r="H42" s="2" t="s">
        <v>27</v>
      </c>
      <c r="I42" s="2" t="s">
        <v>28</v>
      </c>
      <c r="J42" s="2" t="n">
        <v>190000</v>
      </c>
      <c r="K42" s="0" t="n">
        <v>4</v>
      </c>
      <c r="L42" s="2" t="n">
        <f aca="false">J42*K42/100</f>
        <v>7600</v>
      </c>
      <c r="M42" s="0" t="n">
        <v>1001.36363636364</v>
      </c>
      <c r="N42" s="2" t="n">
        <v>813.454545454545</v>
      </c>
      <c r="O42" s="0" t="n">
        <v>937</v>
      </c>
      <c r="P42" s="0" t="n">
        <v>806.4</v>
      </c>
      <c r="Q42" s="5" t="n">
        <v>0.361</v>
      </c>
      <c r="R42" s="0" t="s">
        <v>98</v>
      </c>
    </row>
    <row r="43" customFormat="false" ht="12.8" hidden="false" customHeight="false" outlineLevel="0" collapsed="false">
      <c r="A43" s="3" t="n">
        <v>46310</v>
      </c>
      <c r="B43" s="2" t="s">
        <v>97</v>
      </c>
      <c r="C43" s="2" t="s">
        <v>24</v>
      </c>
      <c r="D43" s="2" t="s">
        <v>39</v>
      </c>
      <c r="E43" s="2" t="s">
        <v>82</v>
      </c>
      <c r="F43" s="0" t="n">
        <v>5</v>
      </c>
      <c r="G43" s="0" t="n">
        <v>5</v>
      </c>
      <c r="H43" s="2" t="s">
        <v>27</v>
      </c>
      <c r="I43" s="2" t="s">
        <v>41</v>
      </c>
      <c r="J43" s="2" t="n">
        <v>190000</v>
      </c>
      <c r="K43" s="0" t="n">
        <v>48</v>
      </c>
      <c r="L43" s="2" t="n">
        <f aca="false">J43*K43/100</f>
        <v>91200</v>
      </c>
      <c r="M43" s="0" t="n">
        <v>1620.54545454545</v>
      </c>
      <c r="N43" s="0" t="n">
        <v>1465.90909090909</v>
      </c>
      <c r="O43" s="0" t="n">
        <v>1571</v>
      </c>
      <c r="P43" s="0" t="n">
        <v>1107.8</v>
      </c>
    </row>
    <row r="44" customFormat="false" ht="12.8" hidden="false" customHeight="false" outlineLevel="0" collapsed="false">
      <c r="A44" s="3" t="n">
        <v>46310</v>
      </c>
      <c r="B44" s="2" t="s">
        <v>99</v>
      </c>
      <c r="C44" s="0" t="s">
        <v>24</v>
      </c>
      <c r="D44" s="0" t="s">
        <v>25</v>
      </c>
      <c r="E44" s="0" t="s">
        <v>26</v>
      </c>
      <c r="F44" s="0" t="n">
        <v>5</v>
      </c>
      <c r="G44" s="0" t="n">
        <v>5</v>
      </c>
      <c r="H44" s="2" t="s">
        <v>27</v>
      </c>
      <c r="I44" s="2" t="s">
        <v>41</v>
      </c>
      <c r="J44" s="2" t="n">
        <v>190000</v>
      </c>
      <c r="K44" s="0" t="n">
        <v>50</v>
      </c>
      <c r="L44" s="2" t="n">
        <f aca="false">J44*K44/100</f>
        <v>95000</v>
      </c>
      <c r="M44" s="0" t="n">
        <v>1445.90909090909</v>
      </c>
      <c r="N44" s="0" t="n">
        <v>1274.45454545455</v>
      </c>
      <c r="O44" s="0" t="n">
        <v>1383.3</v>
      </c>
      <c r="P44" s="0" t="n">
        <v>1344.8</v>
      </c>
    </row>
    <row r="45" customFormat="false" ht="12.8" hidden="false" customHeight="false" outlineLevel="0" collapsed="false">
      <c r="A45" s="3" t="n">
        <v>46310</v>
      </c>
      <c r="B45" s="2" t="s">
        <v>99</v>
      </c>
      <c r="C45" s="2" t="s">
        <v>24</v>
      </c>
      <c r="D45" s="0" t="s">
        <v>33</v>
      </c>
      <c r="E45" s="0" t="s">
        <v>72</v>
      </c>
      <c r="F45" s="0" t="n">
        <v>5</v>
      </c>
      <c r="G45" s="0" t="n">
        <v>5</v>
      </c>
      <c r="H45" s="2" t="s">
        <v>27</v>
      </c>
      <c r="I45" s="2" t="s">
        <v>28</v>
      </c>
      <c r="J45" s="2" t="n">
        <v>190000</v>
      </c>
      <c r="K45" s="0" t="n">
        <v>20</v>
      </c>
      <c r="L45" s="2" t="n">
        <f aca="false">J45*K45/100</f>
        <v>38000</v>
      </c>
      <c r="M45" s="0" t="n">
        <v>1001.36363636364</v>
      </c>
      <c r="N45" s="0" t="n">
        <v>813.454545454545</v>
      </c>
      <c r="O45" s="0" t="n">
        <v>937</v>
      </c>
      <c r="P45" s="0" t="n">
        <v>806.4</v>
      </c>
      <c r="Q45" s="5" t="n">
        <v>0.58</v>
      </c>
      <c r="R45" s="2" t="s">
        <v>96</v>
      </c>
    </row>
    <row r="46" customFormat="false" ht="12.8" hidden="false" customHeight="false" outlineLevel="0" collapsed="false">
      <c r="A46" s="3" t="n">
        <v>46310</v>
      </c>
      <c r="B46" s="2" t="s">
        <v>99</v>
      </c>
      <c r="C46" s="2" t="s">
        <v>24</v>
      </c>
      <c r="D46" s="2" t="s">
        <v>39</v>
      </c>
      <c r="E46" s="2" t="s">
        <v>82</v>
      </c>
      <c r="F46" s="0" t="n">
        <v>5</v>
      </c>
      <c r="G46" s="0" t="n">
        <v>5</v>
      </c>
      <c r="H46" s="2" t="s">
        <v>27</v>
      </c>
      <c r="I46" s="2" t="s">
        <v>41</v>
      </c>
      <c r="J46" s="2" t="n">
        <v>190000</v>
      </c>
      <c r="K46" s="0" t="n">
        <v>30</v>
      </c>
      <c r="L46" s="2" t="n">
        <f aca="false">J46*K46/100</f>
        <v>57000</v>
      </c>
      <c r="M46" s="0" t="n">
        <v>1620.54545454545</v>
      </c>
      <c r="N46" s="0" t="n">
        <v>1465.90909090909</v>
      </c>
      <c r="O46" s="0" t="n">
        <v>1571</v>
      </c>
      <c r="P46" s="0" t="n">
        <v>1107.8</v>
      </c>
    </row>
    <row r="47" customFormat="false" ht="12.8" hidden="false" customHeight="false" outlineLevel="0" collapsed="false">
      <c r="A47" s="3" t="n">
        <v>46310</v>
      </c>
      <c r="B47" s="2" t="s">
        <v>100</v>
      </c>
      <c r="C47" s="0" t="s">
        <v>24</v>
      </c>
      <c r="D47" s="0" t="s">
        <v>25</v>
      </c>
      <c r="E47" s="0" t="s">
        <v>26</v>
      </c>
      <c r="F47" s="0" t="n">
        <v>5</v>
      </c>
      <c r="G47" s="0" t="n">
        <v>5</v>
      </c>
      <c r="H47" s="2" t="s">
        <v>27</v>
      </c>
      <c r="I47" s="2" t="s">
        <v>41</v>
      </c>
      <c r="J47" s="2" t="n">
        <v>190000</v>
      </c>
      <c r="K47" s="0" t="n">
        <v>45</v>
      </c>
      <c r="L47" s="2" t="n">
        <f aca="false">J47*K47/100</f>
        <v>85500</v>
      </c>
      <c r="M47" s="0" t="n">
        <v>1445.90909090909</v>
      </c>
      <c r="N47" s="0" t="n">
        <v>1274.45454545455</v>
      </c>
      <c r="O47" s="0" t="n">
        <v>1383.3</v>
      </c>
      <c r="P47" s="0" t="n">
        <v>1344.8</v>
      </c>
    </row>
    <row r="48" customFormat="false" ht="12.8" hidden="false" customHeight="false" outlineLevel="0" collapsed="false">
      <c r="A48" s="3" t="n">
        <v>46310</v>
      </c>
      <c r="B48" s="2" t="s">
        <v>100</v>
      </c>
      <c r="C48" s="2" t="s">
        <v>24</v>
      </c>
      <c r="D48" s="0" t="s">
        <v>33</v>
      </c>
      <c r="E48" s="0" t="s">
        <v>72</v>
      </c>
      <c r="F48" s="0" t="n">
        <v>5</v>
      </c>
      <c r="G48" s="0" t="n">
        <v>5</v>
      </c>
      <c r="H48" s="2" t="s">
        <v>27</v>
      </c>
      <c r="I48" s="2" t="s">
        <v>28</v>
      </c>
      <c r="J48" s="2" t="n">
        <v>190000</v>
      </c>
      <c r="K48" s="0" t="n">
        <v>20</v>
      </c>
      <c r="L48" s="2" t="n">
        <f aca="false">J48*K48/100</f>
        <v>38000</v>
      </c>
      <c r="M48" s="0" t="n">
        <v>1001.36363636364</v>
      </c>
      <c r="N48" s="0" t="n">
        <v>813.454545454545</v>
      </c>
      <c r="O48" s="0" t="n">
        <v>937</v>
      </c>
      <c r="P48" s="0" t="n">
        <v>806.4</v>
      </c>
      <c r="Q48" s="5" t="n">
        <v>0.63</v>
      </c>
      <c r="R48" s="0" t="s">
        <v>101</v>
      </c>
    </row>
    <row r="49" customFormat="false" ht="12.8" hidden="false" customHeight="false" outlineLevel="0" collapsed="false">
      <c r="A49" s="3" t="n">
        <v>46310</v>
      </c>
      <c r="B49" s="2" t="s">
        <v>100</v>
      </c>
      <c r="C49" s="2" t="s">
        <v>24</v>
      </c>
      <c r="D49" s="2" t="s">
        <v>39</v>
      </c>
      <c r="E49" s="2" t="s">
        <v>82</v>
      </c>
      <c r="F49" s="0" t="n">
        <v>5</v>
      </c>
      <c r="G49" s="0" t="n">
        <v>5</v>
      </c>
      <c r="H49" s="2" t="s">
        <v>27</v>
      </c>
      <c r="I49" s="2" t="s">
        <v>41</v>
      </c>
      <c r="J49" s="2" t="n">
        <v>190000</v>
      </c>
      <c r="K49" s="0" t="n">
        <v>35</v>
      </c>
      <c r="L49" s="2" t="n">
        <f aca="false">J49*K49/100</f>
        <v>66500</v>
      </c>
      <c r="M49" s="0" t="n">
        <v>1620.54545454545</v>
      </c>
      <c r="N49" s="0" t="n">
        <v>1465.90909090909</v>
      </c>
      <c r="O49" s="0" t="n">
        <v>1571</v>
      </c>
      <c r="P49" s="0" t="n">
        <v>1107.8</v>
      </c>
    </row>
    <row r="50" customFormat="false" ht="12.8" hidden="false" customHeight="false" outlineLevel="0" collapsed="false">
      <c r="A50" s="3" t="n">
        <v>46310</v>
      </c>
      <c r="B50" s="2" t="s">
        <v>102</v>
      </c>
      <c r="C50" s="0" t="s">
        <v>24</v>
      </c>
      <c r="D50" s="0" t="s">
        <v>25</v>
      </c>
      <c r="E50" s="0" t="s">
        <v>26</v>
      </c>
      <c r="F50" s="0" t="n">
        <v>5</v>
      </c>
      <c r="G50" s="0" t="n">
        <v>5</v>
      </c>
      <c r="H50" s="2" t="s">
        <v>27</v>
      </c>
      <c r="I50" s="2" t="s">
        <v>41</v>
      </c>
      <c r="J50" s="2" t="n">
        <v>190000</v>
      </c>
      <c r="K50" s="0" t="n">
        <v>40</v>
      </c>
      <c r="L50" s="2" t="n">
        <f aca="false">J50*K50/100</f>
        <v>76000</v>
      </c>
      <c r="M50" s="0" t="n">
        <v>1445.90909090909</v>
      </c>
      <c r="N50" s="0" t="n">
        <v>1274.45454545455</v>
      </c>
      <c r="O50" s="0" t="n">
        <v>1383.3</v>
      </c>
      <c r="P50" s="0" t="n">
        <v>1344.8</v>
      </c>
    </row>
    <row r="51" customFormat="false" ht="12.8" hidden="false" customHeight="false" outlineLevel="0" collapsed="false">
      <c r="A51" s="3" t="n">
        <v>46310</v>
      </c>
      <c r="B51" s="2" t="s">
        <v>102</v>
      </c>
      <c r="C51" s="2" t="s">
        <v>24</v>
      </c>
      <c r="D51" s="0" t="s">
        <v>33</v>
      </c>
      <c r="E51" s="0" t="s">
        <v>72</v>
      </c>
      <c r="F51" s="0" t="n">
        <v>5</v>
      </c>
      <c r="G51" s="0" t="n">
        <v>5</v>
      </c>
      <c r="H51" s="2" t="s">
        <v>27</v>
      </c>
      <c r="I51" s="2" t="s">
        <v>28</v>
      </c>
      <c r="J51" s="2" t="n">
        <v>190000</v>
      </c>
      <c r="K51" s="0" t="n">
        <v>20</v>
      </c>
      <c r="L51" s="2" t="n">
        <f aca="false">J51*K51/100</f>
        <v>38000</v>
      </c>
      <c r="M51" s="0" t="n">
        <v>1001.36363636364</v>
      </c>
      <c r="N51" s="0" t="n">
        <v>813.454545454545</v>
      </c>
      <c r="O51" s="0" t="n">
        <v>937</v>
      </c>
      <c r="P51" s="0" t="n">
        <v>806.4</v>
      </c>
      <c r="Q51" s="5" t="n">
        <v>0.607</v>
      </c>
      <c r="R51" s="2" t="s">
        <v>103</v>
      </c>
    </row>
    <row r="52" customFormat="false" ht="12.8" hidden="false" customHeight="false" outlineLevel="0" collapsed="false">
      <c r="A52" s="3" t="n">
        <v>46310</v>
      </c>
      <c r="B52" s="2" t="s">
        <v>102</v>
      </c>
      <c r="C52" s="2" t="s">
        <v>24</v>
      </c>
      <c r="D52" s="2" t="s">
        <v>39</v>
      </c>
      <c r="E52" s="2" t="s">
        <v>82</v>
      </c>
      <c r="F52" s="0" t="n">
        <v>5</v>
      </c>
      <c r="G52" s="0" t="n">
        <v>5</v>
      </c>
      <c r="H52" s="2" t="s">
        <v>27</v>
      </c>
      <c r="I52" s="2" t="s">
        <v>41</v>
      </c>
      <c r="J52" s="2" t="n">
        <v>190000</v>
      </c>
      <c r="K52" s="0" t="n">
        <v>40</v>
      </c>
      <c r="L52" s="2" t="n">
        <f aca="false">J52*K52/100</f>
        <v>76000</v>
      </c>
      <c r="M52" s="0" t="n">
        <v>1620.54545454545</v>
      </c>
      <c r="N52" s="0" t="n">
        <v>1465.90909090909</v>
      </c>
      <c r="O52" s="0" t="n">
        <v>1571</v>
      </c>
      <c r="P52" s="0" t="n">
        <v>1107.8</v>
      </c>
    </row>
    <row r="53" customFormat="false" ht="12.8" hidden="false" customHeight="false" outlineLevel="0" collapsed="false">
      <c r="A53" s="3" t="n">
        <v>46310</v>
      </c>
      <c r="B53" s="2" t="s">
        <v>104</v>
      </c>
      <c r="C53" s="0" t="s">
        <v>24</v>
      </c>
      <c r="D53" s="0" t="s">
        <v>25</v>
      </c>
      <c r="E53" s="0" t="s">
        <v>26</v>
      </c>
      <c r="F53" s="0" t="n">
        <v>5</v>
      </c>
      <c r="G53" s="0" t="n">
        <v>5</v>
      </c>
      <c r="H53" s="2" t="s">
        <v>27</v>
      </c>
      <c r="I53" s="2" t="s">
        <v>41</v>
      </c>
      <c r="J53" s="2" t="n">
        <v>190000</v>
      </c>
      <c r="K53" s="0" t="n">
        <v>50</v>
      </c>
      <c r="L53" s="2" t="n">
        <f aca="false">J53*K53/100</f>
        <v>95000</v>
      </c>
      <c r="M53" s="0" t="n">
        <v>1445.90909090909</v>
      </c>
      <c r="N53" s="0" t="n">
        <v>1274.45454545455</v>
      </c>
      <c r="O53" s="0" t="n">
        <v>1383.3</v>
      </c>
      <c r="P53" s="0" t="n">
        <v>1344.8</v>
      </c>
    </row>
    <row r="54" customFormat="false" ht="12.8" hidden="false" customHeight="false" outlineLevel="0" collapsed="false">
      <c r="A54" s="3" t="n">
        <v>46310</v>
      </c>
      <c r="B54" s="2" t="s">
        <v>104</v>
      </c>
      <c r="C54" s="2" t="s">
        <v>24</v>
      </c>
      <c r="D54" s="0" t="s">
        <v>33</v>
      </c>
      <c r="E54" s="0" t="s">
        <v>72</v>
      </c>
      <c r="F54" s="0" t="n">
        <v>5</v>
      </c>
      <c r="G54" s="0" t="n">
        <v>5</v>
      </c>
      <c r="H54" s="2" t="s">
        <v>27</v>
      </c>
      <c r="I54" s="2" t="s">
        <v>28</v>
      </c>
      <c r="J54" s="2" t="n">
        <v>190000</v>
      </c>
      <c r="K54" s="0" t="n">
        <v>10</v>
      </c>
      <c r="L54" s="2" t="n">
        <f aca="false">J54*K54/100</f>
        <v>19000</v>
      </c>
      <c r="M54" s="0" t="n">
        <v>1001.36363636364</v>
      </c>
      <c r="N54" s="0" t="n">
        <v>813.454545454545</v>
      </c>
      <c r="O54" s="0" t="n">
        <v>937</v>
      </c>
      <c r="P54" s="0" t="n">
        <v>806.4</v>
      </c>
      <c r="Q54" s="5" t="n">
        <v>0.659</v>
      </c>
      <c r="R54" s="0" t="s">
        <v>105</v>
      </c>
    </row>
    <row r="55" customFormat="false" ht="12.8" hidden="false" customHeight="false" outlineLevel="0" collapsed="false">
      <c r="A55" s="3" t="n">
        <v>46310</v>
      </c>
      <c r="B55" s="2" t="s">
        <v>104</v>
      </c>
      <c r="C55" s="2" t="s">
        <v>24</v>
      </c>
      <c r="D55" s="2" t="s">
        <v>39</v>
      </c>
      <c r="E55" s="2" t="s">
        <v>82</v>
      </c>
      <c r="F55" s="0" t="n">
        <v>5</v>
      </c>
      <c r="G55" s="0" t="n">
        <v>5</v>
      </c>
      <c r="H55" s="2" t="s">
        <v>27</v>
      </c>
      <c r="I55" s="2" t="s">
        <v>41</v>
      </c>
      <c r="J55" s="2" t="n">
        <v>190000</v>
      </c>
      <c r="K55" s="0" t="n">
        <v>40</v>
      </c>
      <c r="L55" s="2" t="n">
        <f aca="false">J55*K55/100</f>
        <v>76000</v>
      </c>
      <c r="M55" s="0" t="n">
        <v>1620.54545454545</v>
      </c>
      <c r="N55" s="0" t="n">
        <v>1465.90909090909</v>
      </c>
      <c r="O55" s="0" t="n">
        <v>1571</v>
      </c>
      <c r="P55" s="0" t="n">
        <v>1107.8</v>
      </c>
    </row>
    <row r="56" customFormat="false" ht="12.8" hidden="false" customHeight="false" outlineLevel="0" collapsed="false">
      <c r="A56" s="3" t="n">
        <v>46310</v>
      </c>
      <c r="B56" s="2" t="s">
        <v>106</v>
      </c>
      <c r="C56" s="0" t="s">
        <v>24</v>
      </c>
      <c r="D56" s="0" t="s">
        <v>25</v>
      </c>
      <c r="E56" s="0" t="s">
        <v>26</v>
      </c>
      <c r="F56" s="0" t="n">
        <v>5</v>
      </c>
      <c r="G56" s="0" t="n">
        <v>5</v>
      </c>
      <c r="H56" s="2" t="s">
        <v>27</v>
      </c>
      <c r="I56" s="2" t="s">
        <v>41</v>
      </c>
      <c r="J56" s="2" t="n">
        <v>190000</v>
      </c>
      <c r="K56" s="0" t="n">
        <v>45</v>
      </c>
      <c r="L56" s="2" t="n">
        <f aca="false">J56*K56/100</f>
        <v>85500</v>
      </c>
      <c r="M56" s="0" t="n">
        <v>1445.90909090909</v>
      </c>
      <c r="N56" s="0" t="n">
        <v>1274.45454545455</v>
      </c>
      <c r="O56" s="0" t="n">
        <v>1383.3</v>
      </c>
      <c r="P56" s="0" t="n">
        <v>1344.8</v>
      </c>
    </row>
    <row r="57" customFormat="false" ht="12.8" hidden="false" customHeight="false" outlineLevel="0" collapsed="false">
      <c r="A57" s="3" t="n">
        <v>46310</v>
      </c>
      <c r="B57" s="2" t="s">
        <v>106</v>
      </c>
      <c r="C57" s="2" t="s">
        <v>24</v>
      </c>
      <c r="D57" s="0" t="s">
        <v>33</v>
      </c>
      <c r="E57" s="0" t="s">
        <v>72</v>
      </c>
      <c r="F57" s="0" t="n">
        <v>5</v>
      </c>
      <c r="G57" s="0" t="n">
        <v>5</v>
      </c>
      <c r="H57" s="2" t="s">
        <v>27</v>
      </c>
      <c r="I57" s="2" t="s">
        <v>28</v>
      </c>
      <c r="J57" s="2" t="n">
        <v>190000</v>
      </c>
      <c r="K57" s="0" t="n">
        <v>20</v>
      </c>
      <c r="L57" s="2" t="n">
        <f aca="false">J57*K57/100</f>
        <v>38000</v>
      </c>
      <c r="M57" s="0" t="n">
        <v>1001.36363636364</v>
      </c>
      <c r="N57" s="0" t="n">
        <v>813.454545454545</v>
      </c>
      <c r="O57" s="0" t="n">
        <v>937</v>
      </c>
      <c r="P57" s="0" t="n">
        <v>806.4</v>
      </c>
      <c r="Q57" s="5" t="n">
        <v>0.278</v>
      </c>
      <c r="R57" s="0" t="s">
        <v>107</v>
      </c>
    </row>
    <row r="58" customFormat="false" ht="12.8" hidden="false" customHeight="false" outlineLevel="0" collapsed="false">
      <c r="A58" s="3" t="n">
        <v>46310</v>
      </c>
      <c r="B58" s="2" t="s">
        <v>106</v>
      </c>
      <c r="C58" s="2" t="s">
        <v>24</v>
      </c>
      <c r="D58" s="2" t="s">
        <v>39</v>
      </c>
      <c r="E58" s="2" t="s">
        <v>75</v>
      </c>
      <c r="F58" s="0" t="n">
        <v>5</v>
      </c>
      <c r="G58" s="0" t="n">
        <v>5</v>
      </c>
      <c r="H58" s="2" t="s">
        <v>27</v>
      </c>
      <c r="I58" s="2" t="s">
        <v>41</v>
      </c>
      <c r="J58" s="2" t="n">
        <v>190000</v>
      </c>
      <c r="K58" s="0" t="n">
        <v>35</v>
      </c>
      <c r="L58" s="2" t="n">
        <f aca="false">J58*K58/100</f>
        <v>66500</v>
      </c>
      <c r="M58" s="0" t="n">
        <f aca="false">M55-170</f>
        <v>1450.54545454545</v>
      </c>
      <c r="N58" s="2" t="n">
        <f aca="false">N55-170</f>
        <v>1295.90909090909</v>
      </c>
      <c r="O58" s="0" t="n">
        <v>1571</v>
      </c>
      <c r="P58" s="0" t="n">
        <v>1107.8</v>
      </c>
    </row>
    <row r="59" customFormat="false" ht="12.8" hidden="false" customHeight="false" outlineLevel="0" collapsed="false">
      <c r="A59" s="3" t="n">
        <v>46310</v>
      </c>
      <c r="B59" s="2" t="s">
        <v>108</v>
      </c>
      <c r="C59" s="0" t="s">
        <v>24</v>
      </c>
      <c r="D59" s="0" t="s">
        <v>25</v>
      </c>
      <c r="E59" s="0" t="s">
        <v>26</v>
      </c>
      <c r="F59" s="0" t="n">
        <v>5</v>
      </c>
      <c r="G59" s="0" t="n">
        <v>5</v>
      </c>
      <c r="H59" s="2" t="s">
        <v>27</v>
      </c>
      <c r="I59" s="2" t="s">
        <v>41</v>
      </c>
      <c r="J59" s="2" t="n">
        <v>190000</v>
      </c>
      <c r="K59" s="0" t="n">
        <v>50</v>
      </c>
      <c r="L59" s="2" t="n">
        <f aca="false">J59*K59/100</f>
        <v>95000</v>
      </c>
      <c r="M59" s="0" t="n">
        <v>1445.90909090909</v>
      </c>
      <c r="N59" s="0" t="n">
        <v>1274.45454545455</v>
      </c>
      <c r="O59" s="0" t="n">
        <v>1383.3</v>
      </c>
      <c r="P59" s="0" t="n">
        <v>1344.8</v>
      </c>
    </row>
    <row r="60" customFormat="false" ht="12.8" hidden="false" customHeight="false" outlineLevel="0" collapsed="false">
      <c r="A60" s="3" t="n">
        <v>46310</v>
      </c>
      <c r="B60" s="2" t="s">
        <v>108</v>
      </c>
      <c r="C60" s="2" t="s">
        <v>24</v>
      </c>
      <c r="D60" s="0" t="s">
        <v>33</v>
      </c>
      <c r="E60" s="0" t="s">
        <v>72</v>
      </c>
      <c r="F60" s="0" t="n">
        <v>5</v>
      </c>
      <c r="G60" s="0" t="n">
        <v>5</v>
      </c>
      <c r="H60" s="2" t="s">
        <v>27</v>
      </c>
      <c r="I60" s="2" t="s">
        <v>28</v>
      </c>
      <c r="J60" s="2" t="n">
        <v>190000</v>
      </c>
      <c r="K60" s="0" t="n">
        <v>20</v>
      </c>
      <c r="L60" s="2" t="n">
        <f aca="false">J60*K60/100</f>
        <v>38000</v>
      </c>
      <c r="M60" s="0" t="n">
        <v>1001.36363636364</v>
      </c>
      <c r="N60" s="0" t="n">
        <v>813.454545454545</v>
      </c>
      <c r="O60" s="0" t="n">
        <v>937</v>
      </c>
      <c r="P60" s="0" t="n">
        <v>806.4</v>
      </c>
      <c r="Q60" s="5" t="n">
        <v>0.244</v>
      </c>
      <c r="R60" s="0" t="s">
        <v>107</v>
      </c>
    </row>
    <row r="61" customFormat="false" ht="12.8" hidden="false" customHeight="false" outlineLevel="0" collapsed="false">
      <c r="A61" s="3" t="n">
        <v>46310</v>
      </c>
      <c r="B61" s="2" t="s">
        <v>108</v>
      </c>
      <c r="C61" s="2" t="s">
        <v>24</v>
      </c>
      <c r="D61" s="2" t="s">
        <v>39</v>
      </c>
      <c r="E61" s="2" t="s">
        <v>75</v>
      </c>
      <c r="F61" s="0" t="n">
        <v>5</v>
      </c>
      <c r="G61" s="0" t="n">
        <v>5</v>
      </c>
      <c r="H61" s="2" t="s">
        <v>27</v>
      </c>
      <c r="I61" s="2" t="s">
        <v>41</v>
      </c>
      <c r="J61" s="2" t="n">
        <v>190000</v>
      </c>
      <c r="K61" s="0" t="n">
        <v>30</v>
      </c>
      <c r="L61" s="2" t="n">
        <f aca="false">J61*K61/100</f>
        <v>57000</v>
      </c>
      <c r="M61" s="0" t="n">
        <f aca="false">M58-170</f>
        <v>1280.54545454545</v>
      </c>
      <c r="N61" s="2" t="n">
        <f aca="false">N58-170</f>
        <v>1125.90909090909</v>
      </c>
      <c r="O61" s="0" t="n">
        <v>1571</v>
      </c>
      <c r="P61" s="0" t="n">
        <v>1107.8</v>
      </c>
    </row>
  </sheetData>
  <autoFilter ref="A1:R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2026-10-16T19:14:15Z</dcterms:modified>
  <cp:revision>12</cp:revision>
  <dc:subject/>
  <dc:title/>
</cp:coreProperties>
</file>